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montl\OneDrive\Documents\Montle\Analytics\Projects\Team Formation Analysis\Analysis\"/>
    </mc:Choice>
  </mc:AlternateContent>
  <xr:revisionPtr revIDLastSave="0" documentId="13_ncr:1_{44DB38B4-6B5A-4B0C-AFE6-19EDEBFB1D18}" xr6:coauthVersionLast="47" xr6:coauthVersionMax="47" xr10:uidLastSave="{00000000-0000-0000-0000-000000000000}"/>
  <bookViews>
    <workbookView xWindow="-120" yWindow="-120" windowWidth="20730" windowHeight="11160" firstSheet="2" activeTab="4" xr2:uid="{A046E611-75CD-4442-B0ED-4794B4B972D6}"/>
  </bookViews>
  <sheets>
    <sheet name="clean dataset" sheetId="26" r:id="rId1"/>
    <sheet name="skill distribution" sheetId="17" r:id="rId2"/>
    <sheet name="skill gaps" sheetId="25" r:id="rId3"/>
    <sheet name="proficiency distribution" sheetId="18" r:id="rId4"/>
    <sheet name="respondent skill counts" sheetId="27" r:id="rId5"/>
    <sheet name="team formation" sheetId="28" r:id="rId6"/>
  </sheets>
  <definedNames>
    <definedName name="avg_skill_count">#REF!</definedName>
    <definedName name="avg_skills">#REF!</definedName>
    <definedName name="ExternalData_1" localSheetId="0" hidden="1">'clean dataset'!$A$1:$C$111</definedName>
    <definedName name="ExternalData_1" localSheetId="3" hidden="1">'proficiency distribution'!#REF!</definedName>
    <definedName name="full_proficiency_list">#REF!</definedName>
    <definedName name="high_skill">#REF!</definedName>
    <definedName name="memA">#REF!</definedName>
    <definedName name="memB">#REF!</definedName>
    <definedName name="members_cal">#REF!</definedName>
    <definedName name="memC">#REF!</definedName>
    <definedName name="message">#REF!</definedName>
    <definedName name="proficiency">#REF!</definedName>
    <definedName name="proficiency_cal">#REF!</definedName>
    <definedName name="rec">#REF!</definedName>
    <definedName name="rec_A">#REF!</definedName>
    <definedName name="rec_B">#REF!</definedName>
    <definedName name="rec_C">#REF!</definedName>
    <definedName name="short_list">#REF!</definedName>
    <definedName name="skill">#REF!</definedName>
    <definedName name="skill_top">#REF!</definedName>
    <definedName name="skills_covered">#REF!</definedName>
    <definedName name="Slicer_skill">#N/A</definedName>
    <definedName name="space">#REF!</definedName>
    <definedName name="teams">'skill distribution'!#REF!</definedName>
    <definedName name="top_skill">#REF!</definedName>
    <definedName name="top_skill_exe">#REF!</definedName>
    <definedName name="top_skills">#REF!</definedName>
    <definedName name="total_members">#REF!</definedName>
  </definedNames>
  <calcPr calcId="191029"/>
  <pivotCaches>
    <pivotCache cacheId="18" r:id="rId7"/>
    <pivotCache cacheId="19" r:id="rId8"/>
    <pivotCache cacheId="20" r:id="rId9"/>
    <pivotCache cacheId="21"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eams_0d3e88bf-166c-4cd4-a91b-db61e9e2db8e" name="teams" connection="Query - teams"/>
          <x15:modelTable id="proficiency distribution_a2776600-156a-4204-92ff-d1b546540c62" name="proficiency distribution" connection="Query - proficiency distribu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6" i="27" l="1"/>
  <c r="B15" i="2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B017E8-81C6-4F46-8FF3-7B8B8430ABE0}" keepAlive="1" name="Query - clean dataset" description="Connection to the 'clean dataset' query in the workbook." type="5" refreshedVersion="8" background="1" saveData="1">
    <dbPr connection="Provider=Microsoft.Mashup.OleDb.1;Data Source=$Workbook$;Location=&quot;clean dataset&quot;;Extended Properties=&quot;&quot;" command="SELECT * FROM [clean dataset]"/>
  </connection>
  <connection id="2" xr16:uid="{9666A91B-AD6B-42B8-84A4-EC6A39C53D41}" keepAlive="1" name="Query - dataset" description="Connection to the 'dataset' query in the workbook." type="5" refreshedVersion="8" background="1" saveData="1">
    <dbPr connection="Provider=Microsoft.Mashup.OleDb.1;Data Source=$Workbook$;Location=dataset;Extended Properties=&quot;&quot;" command="SELECT * FROM [dataset]"/>
  </connection>
  <connection id="3" xr16:uid="{8A278FA0-4D6F-485E-B525-6C9CE24CCB8E}" name="Query - proficiency distribution" description="Connection to the 'proficiency distribution' query in the workbook." type="100" refreshedVersion="8" minRefreshableVersion="5">
    <extLst>
      <ext xmlns:x15="http://schemas.microsoft.com/office/spreadsheetml/2010/11/main" uri="{DE250136-89BD-433C-8126-D09CA5730AF9}">
        <x15:connection id="4a6e01b3-abca-4386-9f35-a578e4179aca"/>
      </ext>
    </extLst>
  </connection>
  <connection id="4" xr16:uid="{08D2CA53-A72A-4AC1-B282-BCDACCB352B2}" keepAlive="1" name="Query - skill distribution" description="Connection to the 'skill distribution' query in the workbook." type="5" refreshedVersion="8" background="1" saveData="1">
    <dbPr connection="Provider=Microsoft.Mashup.OleDb.1;Data Source=$Workbook$;Location=&quot;skill distribution&quot;;Extended Properties=&quot;&quot;" command="SELECT * FROM [skill distribution]"/>
  </connection>
  <connection id="5" xr16:uid="{175C84B0-1AD4-420C-B315-B0912004036D}" keepAlive="1" name="Query - team formation" description="Connection to the 'team formation' query in the workbook." type="5" refreshedVersion="8" background="1" saveData="1">
    <dbPr connection="Provider=Microsoft.Mashup.OleDb.1;Data Source=$Workbook$;Location=&quot;team formation&quot;;Extended Properties=&quot;&quot;" command="SELECT * FROM [team formation]"/>
  </connection>
  <connection id="6" xr16:uid="{90F594CD-C824-4455-B6BE-575FAC89BF7E}" name="Query - teams" description="Connection to the 'teams' query in the workbook." type="100" refreshedVersion="8" minRefreshableVersion="5">
    <extLst>
      <ext xmlns:x15="http://schemas.microsoft.com/office/spreadsheetml/2010/11/main" uri="{DE250136-89BD-433C-8126-D09CA5730AF9}">
        <x15:connection id="259b3162-2552-4f32-8fd7-ece761ca5883"/>
      </ext>
    </extLst>
  </connection>
  <connection id="7" xr16:uid="{0D3B6559-93B2-4487-92E5-9B695291A47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<sst xmlns="http://schemas.openxmlformats.org/spreadsheetml/2006/main" count="391" uniqueCount="42">
  <si>
    <t>skill</t>
  </si>
  <si>
    <t>proficiency</t>
  </si>
  <si>
    <t>BI Tools</t>
  </si>
  <si>
    <t>Beginner</t>
  </si>
  <si>
    <t>Data Manipulation</t>
  </si>
  <si>
    <t>Yes</t>
  </si>
  <si>
    <t>EDA</t>
  </si>
  <si>
    <t>Presentation</t>
  </si>
  <si>
    <t>Project  Management</t>
  </si>
  <si>
    <t>Python or R</t>
  </si>
  <si>
    <t>Intermeiate</t>
  </si>
  <si>
    <t>SQL</t>
  </si>
  <si>
    <t>Spreadsheets</t>
  </si>
  <si>
    <t>Skill Count</t>
  </si>
  <si>
    <t>Row Labels</t>
  </si>
  <si>
    <t>Count of proficiency</t>
  </si>
  <si>
    <t>Domain Knowledge</t>
  </si>
  <si>
    <t>Count of skill</t>
  </si>
  <si>
    <t>Column Labels</t>
  </si>
  <si>
    <t>No</t>
  </si>
  <si>
    <t>Active Learner</t>
  </si>
  <si>
    <t>None</t>
  </si>
  <si>
    <t>Project Management</t>
  </si>
  <si>
    <t>Intermediate</t>
  </si>
  <si>
    <t>respondent_id</t>
  </si>
  <si>
    <t>resp01</t>
  </si>
  <si>
    <t>resp02</t>
  </si>
  <si>
    <t>resp03</t>
  </si>
  <si>
    <t>resp04</t>
  </si>
  <si>
    <t>resp06</t>
  </si>
  <si>
    <t>resp07</t>
  </si>
  <si>
    <t>resp08</t>
  </si>
  <si>
    <t>resp09</t>
  </si>
  <si>
    <t>resp10</t>
  </si>
  <si>
    <t>resp11</t>
  </si>
  <si>
    <t>(Multiple Items)</t>
  </si>
  <si>
    <t>Average Skill Count</t>
  </si>
  <si>
    <t xml:space="preserve">Median </t>
  </si>
  <si>
    <t>Team A</t>
  </si>
  <si>
    <t>Team B</t>
  </si>
  <si>
    <t>Team C</t>
  </si>
  <si>
    <r>
      <rPr>
        <b/>
        <sz val="11"/>
        <color theme="1"/>
        <rFont val="Calibri"/>
        <family val="2"/>
        <scheme val="minor"/>
      </rPr>
      <t>Note:</t>
    </r>
    <r>
      <rPr>
        <sz val="11"/>
        <color theme="1"/>
        <rFont val="Calibri"/>
        <family val="2"/>
        <scheme val="minor"/>
      </rPr>
      <t xml:space="preserve"> Average and median are nearly identical indicating no significant skew in skill count distribution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</si>
</sst>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1" fillId="0" borderId="0" xfId="0" applyFont="1"/>
    <xf numFmtId="0" fontId="0" fillId="0" borderId="0" xfId="0" applyAlignment="1">
      <alignment horizontal="left" indent="1"/>
    </xf>
    <xf numFmtId="0" fontId="0" fillId="0" borderId="0" xfId="0" applyAlignment="1">
      <alignment horizontal="left" vertical="top" wrapText="1"/>
    </xf>
  </cellXfs>
  <cellStyles count="1">
    <cellStyle name="Normal" xfId="0" builtinId="0"/>
  </cellStyles>
  <dxfs count="2">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Light1 2" pivot="0" table="0" count="10" xr9:uid="{5D9443ED-DB86-45B3-B1FD-13AFD88CA65D}">
      <tableStyleElement type="wholeTable" dxfId="1"/>
      <tableStyleElement type="headerRow" dxfId="0"/>
    </tableStyle>
  </tableStyles>
  <colors>
    <mruColors>
      <color rgb="FFDFF1D3"/>
      <color rgb="FFEBF5D7"/>
      <color rgb="FFEAEAEA"/>
      <color rgb="FF1B5337"/>
      <color rgb="FFC2E088"/>
      <color rgb="FFF4F3EC"/>
      <color rgb="FF739A28"/>
      <color rgb="FF206252"/>
      <color rgb="FF297D53"/>
      <color rgb="FF0000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10" Type="http://schemas.openxmlformats.org/officeDocument/2006/relationships/pivotCacheDefinition" Target="pivotCache/pivotCacheDefinition4.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[Team Analysis.xlsx]skill distribution!PivotTable2</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Cohort</a:t>
            </a:r>
            <a:r>
              <a:rPr lang="en-ZA" baseline="0"/>
              <a:t> Skill Distribution</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 distribution'!$B$1</c:f>
              <c:strCache>
                <c:ptCount val="1"/>
                <c:pt idx="0">
                  <c:v>Total</c:v>
                </c:pt>
              </c:strCache>
            </c:strRef>
          </c:tx>
          <c:spPr>
            <a:solidFill>
              <a:schemeClr val="accent3"/>
            </a:solidFill>
            <a:ln>
              <a:noFill/>
            </a:ln>
            <a:effectLst/>
          </c:spPr>
          <c:invertIfNegative val="0"/>
          <c:cat>
            <c:strRef>
              <c:f>'skill distribution'!$A$2:$A$9</c:f>
              <c:strCache>
                <c:ptCount val="8"/>
                <c:pt idx="0">
                  <c:v>Data Manipulation</c:v>
                </c:pt>
                <c:pt idx="1">
                  <c:v>EDA</c:v>
                </c:pt>
                <c:pt idx="2">
                  <c:v>Project  Management</c:v>
                </c:pt>
                <c:pt idx="3">
                  <c:v>BI Tools</c:v>
                </c:pt>
                <c:pt idx="4">
                  <c:v>Presentation</c:v>
                </c:pt>
                <c:pt idx="5">
                  <c:v>SQL</c:v>
                </c:pt>
                <c:pt idx="6">
                  <c:v>Python or R</c:v>
                </c:pt>
                <c:pt idx="7">
                  <c:v>Spreadsheets</c:v>
                </c:pt>
              </c:strCache>
            </c:strRef>
          </c:cat>
          <c:val>
            <c:numRef>
              <c:f>'skill distribution'!$B$2:$B$9</c:f>
              <c:numCache>
                <c:formatCode>General</c:formatCode>
                <c:ptCount val="8"/>
                <c:pt idx="0">
                  <c:v>1</c:v>
                </c:pt>
                <c:pt idx="1">
                  <c:v>1</c:v>
                </c:pt>
                <c:pt idx="2">
                  <c:v>4</c:v>
                </c:pt>
                <c:pt idx="3">
                  <c:v>4</c:v>
                </c:pt>
                <c:pt idx="4">
                  <c:v>5</c:v>
                </c:pt>
                <c:pt idx="5">
                  <c:v>5</c:v>
                </c:pt>
                <c:pt idx="6">
                  <c:v>5</c:v>
                </c:pt>
                <c:pt idx="7">
                  <c:v>8</c:v>
                </c:pt>
              </c:numCache>
            </c:numRef>
          </c:val>
          <c:extLst>
            <c:ext xmlns:c16="http://schemas.microsoft.com/office/drawing/2014/chart" uri="{C3380CC4-5D6E-409C-BE32-E72D297353CC}">
              <c16:uniqueId val="{00000000-956B-42E3-84F7-35ACA5330C15}"/>
            </c:ext>
          </c:extLst>
        </c:ser>
        <c:dLbls>
          <c:showLegendKey val="0"/>
          <c:showVal val="0"/>
          <c:showCatName val="0"/>
          <c:showSerName val="0"/>
          <c:showPercent val="0"/>
          <c:showBubbleSize val="0"/>
        </c:dLbls>
        <c:gapWidth val="182"/>
        <c:axId val="2004775935"/>
        <c:axId val="1509479103"/>
      </c:barChart>
      <c:catAx>
        <c:axId val="2004775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479103"/>
        <c:crosses val="autoZero"/>
        <c:auto val="1"/>
        <c:lblAlgn val="ctr"/>
        <c:lblOffset val="100"/>
        <c:noMultiLvlLbl val="0"/>
      </c:catAx>
      <c:valAx>
        <c:axId val="1509479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775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[Team Analysis.xlsx]skill gaps!PivotTable1</c:name>
    <c:fmtId val="7"/>
  </c:pivotSource>
  <c:chart>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 gaps'!$B$1:$B$2</c:f>
              <c:strCache>
                <c:ptCount val="1"/>
                <c:pt idx="0">
                  <c:v>No</c:v>
                </c:pt>
              </c:strCache>
            </c:strRef>
          </c:tx>
          <c:spPr>
            <a:solidFill>
              <a:schemeClr val="accent3">
                <a:shade val="76000"/>
              </a:schemeClr>
            </a:solidFill>
            <a:ln>
              <a:noFill/>
            </a:ln>
            <a:effectLst/>
          </c:spPr>
          <c:invertIfNegative val="0"/>
          <c:cat>
            <c:strRef>
              <c:f>'skill gaps'!$A$3:$A$5</c:f>
              <c:strCache>
                <c:ptCount val="3"/>
                <c:pt idx="0">
                  <c:v>Domain Knowledge</c:v>
                </c:pt>
                <c:pt idx="1">
                  <c:v>Data Manipulation</c:v>
                </c:pt>
                <c:pt idx="2">
                  <c:v>EDA</c:v>
                </c:pt>
              </c:strCache>
            </c:strRef>
          </c:cat>
          <c:val>
            <c:numRef>
              <c:f>'skill gaps'!$B$3:$B$5</c:f>
              <c:numCache>
                <c:formatCode>General</c:formatCode>
                <c:ptCount val="3"/>
                <c:pt idx="0">
                  <c:v>10</c:v>
                </c:pt>
                <c:pt idx="1">
                  <c:v>9</c:v>
                </c:pt>
                <c:pt idx="2">
                  <c:v>9</c:v>
                </c:pt>
              </c:numCache>
            </c:numRef>
          </c:val>
          <c:extLst>
            <c:ext xmlns:c16="http://schemas.microsoft.com/office/drawing/2014/chart" uri="{C3380CC4-5D6E-409C-BE32-E72D297353CC}">
              <c16:uniqueId val="{00000000-2EDE-4F34-8504-43AAAC5F9FD1}"/>
            </c:ext>
          </c:extLst>
        </c:ser>
        <c:ser>
          <c:idx val="1"/>
          <c:order val="1"/>
          <c:tx>
            <c:strRef>
              <c:f>'skill gaps'!$C$1:$C$2</c:f>
              <c:strCache>
                <c:ptCount val="1"/>
                <c:pt idx="0">
                  <c:v>Yes</c:v>
                </c:pt>
              </c:strCache>
            </c:strRef>
          </c:tx>
          <c:spPr>
            <a:solidFill>
              <a:schemeClr val="accent3">
                <a:tint val="77000"/>
              </a:schemeClr>
            </a:solidFill>
            <a:ln>
              <a:noFill/>
            </a:ln>
            <a:effectLst/>
          </c:spPr>
          <c:invertIfNegative val="0"/>
          <c:cat>
            <c:strRef>
              <c:f>'skill gaps'!$A$3:$A$5</c:f>
              <c:strCache>
                <c:ptCount val="3"/>
                <c:pt idx="0">
                  <c:v>Domain Knowledge</c:v>
                </c:pt>
                <c:pt idx="1">
                  <c:v>Data Manipulation</c:v>
                </c:pt>
                <c:pt idx="2">
                  <c:v>EDA</c:v>
                </c:pt>
              </c:strCache>
            </c:strRef>
          </c:cat>
          <c:val>
            <c:numRef>
              <c:f>'skill gaps'!$C$3:$C$5</c:f>
              <c:numCache>
                <c:formatCode>General</c:formatCode>
                <c:ptCount val="3"/>
                <c:pt idx="1">
                  <c:v>1</c:v>
                </c:pt>
                <c:pt idx="2">
                  <c:v>1</c:v>
                </c:pt>
              </c:numCache>
            </c:numRef>
          </c:val>
          <c:extLst>
            <c:ext xmlns:c16="http://schemas.microsoft.com/office/drawing/2014/chart" uri="{C3380CC4-5D6E-409C-BE32-E72D297353CC}">
              <c16:uniqueId val="{00000001-2EDE-4F34-8504-43AAAC5F9FD1}"/>
            </c:ext>
          </c:extLst>
        </c:ser>
        <c:dLbls>
          <c:showLegendKey val="0"/>
          <c:showVal val="0"/>
          <c:showCatName val="0"/>
          <c:showSerName val="0"/>
          <c:showPercent val="0"/>
          <c:showBubbleSize val="0"/>
        </c:dLbls>
        <c:gapWidth val="219"/>
        <c:overlap val="-27"/>
        <c:axId val="2004794495"/>
        <c:axId val="1509477183"/>
      </c:barChart>
      <c:catAx>
        <c:axId val="200479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477183"/>
        <c:crosses val="autoZero"/>
        <c:auto val="1"/>
        <c:lblAlgn val="ctr"/>
        <c:lblOffset val="100"/>
        <c:noMultiLvlLbl val="0"/>
      </c:catAx>
      <c:valAx>
        <c:axId val="1509477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79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[Team Analysis.xlsx]proficiency distribution!PivotTable3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Skill</a:t>
            </a:r>
            <a:r>
              <a:rPr lang="en-ZA" baseline="0"/>
              <a:t> Proficiency Distribution</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pivotFmt>
      <c:pivotFmt>
        <c:idx val="2"/>
        <c:spPr>
          <a:solidFill>
            <a:schemeClr val="accent3">
              <a:shade val="76000"/>
            </a:schemeClr>
          </a:solidFill>
          <a:ln>
            <a:noFill/>
          </a:ln>
          <a:effectLst/>
        </c:spPr>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'proficiency distribution'!$B$1:$B$2</c:f>
              <c:strCache>
                <c:ptCount val="1"/>
                <c:pt idx="0">
                  <c:v>Beginner</c:v>
                </c:pt>
              </c:strCache>
            </c:strRef>
          </c:tx>
          <c:spPr>
            <a:solidFill>
              <a:schemeClr val="accent3">
                <a:shade val="76000"/>
              </a:schemeClr>
            </a:solidFill>
            <a:ln>
              <a:noFill/>
            </a:ln>
            <a:effectLst/>
          </c:spPr>
          <c:invertIfNegative val="0"/>
          <c:cat>
            <c:strRef>
              <c:f>'proficiency distribution'!$A$3:$A$6</c:f>
              <c:strCache>
                <c:ptCount val="4"/>
                <c:pt idx="0">
                  <c:v>Spreadsheets</c:v>
                </c:pt>
                <c:pt idx="1">
                  <c:v>SQL</c:v>
                </c:pt>
                <c:pt idx="2">
                  <c:v>Python or R</c:v>
                </c:pt>
                <c:pt idx="3">
                  <c:v>BI Tools</c:v>
                </c:pt>
              </c:strCache>
            </c:strRef>
          </c:cat>
          <c:val>
            <c:numRef>
              <c:f>'proficiency distribution'!$B$3:$B$6</c:f>
              <c:numCache>
                <c:formatCode>General</c:formatCode>
                <c:ptCount val="4"/>
                <c:pt idx="0">
                  <c:v>3</c:v>
                </c:pt>
                <c:pt idx="1">
                  <c:v>3</c:v>
                </c:pt>
                <c:pt idx="2">
                  <c:v>4</c:v>
                </c:pt>
                <c:pt idx="3">
                  <c:v>4</c:v>
                </c:pt>
              </c:numCache>
            </c:numRef>
          </c:val>
          <c:extLst>
            <c:ext xmlns:c16="http://schemas.microsoft.com/office/drawing/2014/chart" uri="{C3380CC4-5D6E-409C-BE32-E72D297353CC}">
              <c16:uniqueId val="{00000000-BF54-425C-9D84-7908B0158C65}"/>
            </c:ext>
          </c:extLst>
        </c:ser>
        <c:ser>
          <c:idx val="1"/>
          <c:order val="1"/>
          <c:tx>
            <c:strRef>
              <c:f>'proficiency distribution'!$C$1:$C$2</c:f>
              <c:strCache>
                <c:ptCount val="1"/>
                <c:pt idx="0">
                  <c:v>Intermeiate</c:v>
                </c:pt>
              </c:strCache>
            </c:strRef>
          </c:tx>
          <c:spPr>
            <a:solidFill>
              <a:schemeClr val="accent3">
                <a:tint val="77000"/>
              </a:schemeClr>
            </a:solidFill>
            <a:ln>
              <a:noFill/>
            </a:ln>
            <a:effectLst/>
          </c:spPr>
          <c:invertIfNegative val="0"/>
          <c:cat>
            <c:strRef>
              <c:f>'proficiency distribution'!$A$3:$A$6</c:f>
              <c:strCache>
                <c:ptCount val="4"/>
                <c:pt idx="0">
                  <c:v>Spreadsheets</c:v>
                </c:pt>
                <c:pt idx="1">
                  <c:v>SQL</c:v>
                </c:pt>
                <c:pt idx="2">
                  <c:v>Python or R</c:v>
                </c:pt>
                <c:pt idx="3">
                  <c:v>BI Tools</c:v>
                </c:pt>
              </c:strCache>
            </c:strRef>
          </c:cat>
          <c:val>
            <c:numRef>
              <c:f>'proficiency distribution'!$C$3:$C$6</c:f>
              <c:numCache>
                <c:formatCode>General</c:formatCode>
                <c:ptCount val="4"/>
                <c:pt idx="0">
                  <c:v>5</c:v>
                </c:pt>
                <c:pt idx="1">
                  <c:v>2</c:v>
                </c:pt>
                <c:pt idx="2">
                  <c:v>1</c:v>
                </c:pt>
              </c:numCache>
            </c:numRef>
          </c:val>
          <c:extLst>
            <c:ext xmlns:c16="http://schemas.microsoft.com/office/drawing/2014/chart" uri="{C3380CC4-5D6E-409C-BE32-E72D297353CC}">
              <c16:uniqueId val="{00000001-BF54-425C-9D84-7908B0158C65}"/>
            </c:ext>
          </c:extLst>
        </c:ser>
        <c:dLbls>
          <c:showLegendKey val="0"/>
          <c:showVal val="0"/>
          <c:showCatName val="0"/>
          <c:showSerName val="0"/>
          <c:showPercent val="0"/>
          <c:showBubbleSize val="0"/>
        </c:dLbls>
        <c:gapWidth val="150"/>
        <c:overlap val="100"/>
        <c:axId val="1352819904"/>
        <c:axId val="1400204928"/>
      </c:barChart>
      <c:catAx>
        <c:axId val="135281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204928"/>
        <c:crosses val="autoZero"/>
        <c:auto val="1"/>
        <c:lblAlgn val="ctr"/>
        <c:lblOffset val="100"/>
        <c:noMultiLvlLbl val="0"/>
      </c:catAx>
      <c:valAx>
        <c:axId val="1400204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819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[Team Analysis.xlsx]respondent skill counts!PivotTable1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Respondent</a:t>
            </a:r>
            <a:r>
              <a:rPr lang="en-US" baseline="0"/>
              <a:t> Skill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'respondent skill counts'!$B$4</c:f>
              <c:strCache>
                <c:ptCount val="1"/>
                <c:pt idx="0">
                  <c:v>Total</c:v>
                </c:pt>
              </c:strCache>
            </c:strRef>
          </c:tx>
          <c:spPr>
            <a:solidFill>
              <a:schemeClr val="accent3"/>
            </a:solidFill>
            <a:ln>
              <a:noFill/>
            </a:ln>
            <a:effectLst/>
          </c:spPr>
          <c:invertIfNegative val="0"/>
          <c:cat>
            <c:strRef>
              <c:f>'respondent skill counts'!$A$5:$A$14</c:f>
              <c:strCache>
                <c:ptCount val="10"/>
                <c:pt idx="0">
                  <c:v>resp11</c:v>
                </c:pt>
                <c:pt idx="1">
                  <c:v>resp08</c:v>
                </c:pt>
                <c:pt idx="2">
                  <c:v>resp03</c:v>
                </c:pt>
                <c:pt idx="3">
                  <c:v>resp09</c:v>
                </c:pt>
                <c:pt idx="4">
                  <c:v>resp10</c:v>
                </c:pt>
                <c:pt idx="5">
                  <c:v>resp01</c:v>
                </c:pt>
                <c:pt idx="6">
                  <c:v>resp06</c:v>
                </c:pt>
                <c:pt idx="7">
                  <c:v>resp07</c:v>
                </c:pt>
                <c:pt idx="8">
                  <c:v>resp02</c:v>
                </c:pt>
                <c:pt idx="9">
                  <c:v>resp04</c:v>
                </c:pt>
              </c:strCache>
            </c:strRef>
          </c:cat>
          <c:val>
            <c:numRef>
              <c:f>'respondent skill counts'!$B$5:$B$14</c:f>
              <c:numCache>
                <c:formatCode>General</c:formatCode>
                <c:ptCount val="10"/>
                <c:pt idx="0">
                  <c:v>1</c:v>
                </c:pt>
                <c:pt idx="1">
                  <c:v>1</c:v>
                </c:pt>
                <c:pt idx="2">
                  <c:v>2</c:v>
                </c:pt>
                <c:pt idx="3">
                  <c:v>2</c:v>
                </c:pt>
                <c:pt idx="4">
                  <c:v>3</c:v>
                </c:pt>
                <c:pt idx="5">
                  <c:v>4</c:v>
                </c:pt>
                <c:pt idx="6">
                  <c:v>5</c:v>
                </c:pt>
                <c:pt idx="7">
                  <c:v>5</c:v>
                </c:pt>
                <c:pt idx="8">
                  <c:v>5</c:v>
                </c:pt>
                <c:pt idx="9">
                  <c:v>5</c:v>
                </c:pt>
              </c:numCache>
            </c:numRef>
          </c:val>
          <c:extLst>
            <c:ext xmlns:c16="http://schemas.microsoft.com/office/drawing/2014/chart" uri="{C3380CC4-5D6E-409C-BE32-E72D297353CC}">
              <c16:uniqueId val="{00000000-4DAB-4A80-88B2-45D13CB809AF}"/>
            </c:ext>
          </c:extLst>
        </c:ser>
        <c:dLbls>
          <c:showLegendKey val="0"/>
          <c:showVal val="0"/>
          <c:showCatName val="0"/>
          <c:showSerName val="0"/>
          <c:showPercent val="0"/>
          <c:showBubbleSize val="0"/>
        </c:dLbls>
        <c:gapWidth val="182"/>
        <c:axId val="219609952"/>
        <c:axId val="539675232"/>
      </c:barChart>
      <c:catAx>
        <c:axId val="219609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675232"/>
        <c:crosses val="autoZero"/>
        <c:auto val="1"/>
        <c:lblAlgn val="ctr"/>
        <c:lblOffset val="100"/>
        <c:noMultiLvlLbl val="0"/>
      </c:catAx>
      <c:valAx>
        <c:axId val="539675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60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575829</xdr:colOff>
      <xdr:row>0</xdr:row>
      <xdr:rowOff>39832</xdr:rowOff>
    </xdr:from>
    <xdr:to>
      <xdr:col>8</xdr:col>
      <xdr:colOff>506556</xdr:colOff>
      <xdr:row>14</xdr:row>
      <xdr:rowOff>116032</xdr:rowOff>
    </xdr:to>
    <xdr:graphicFrame macro="">
      <xdr:nvGraphicFramePr>
        <xdr:cNvPr id="2" name="Chart 1">
          <a:extLst>
            <a:ext uri="{FF2B5EF4-FFF2-40B4-BE49-F238E27FC236}">
              <a16:creationId xmlns:a16="http://schemas.microsoft.com/office/drawing/2014/main" id="{8FF9FBA8-8A71-74A9-94BE-4DEFEA2775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23812</xdr:rowOff>
    </xdr:from>
    <xdr:to>
      <xdr:col>12</xdr:col>
      <xdr:colOff>104775</xdr:colOff>
      <xdr:row>15</xdr:row>
      <xdr:rowOff>100012</xdr:rowOff>
    </xdr:to>
    <xdr:graphicFrame macro="">
      <xdr:nvGraphicFramePr>
        <xdr:cNvPr id="2" name="Chart 1">
          <a:extLst>
            <a:ext uri="{FF2B5EF4-FFF2-40B4-BE49-F238E27FC236}">
              <a16:creationId xmlns:a16="http://schemas.microsoft.com/office/drawing/2014/main" id="{B12F6587-E15A-13DD-A34D-A497D5B8A8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314325</xdr:colOff>
      <xdr:row>1</xdr:row>
      <xdr:rowOff>28575</xdr:rowOff>
    </xdr:from>
    <xdr:to>
      <xdr:col>11</xdr:col>
      <xdr:colOff>9525</xdr:colOff>
      <xdr:row>15</xdr:row>
      <xdr:rowOff>104775</xdr:rowOff>
    </xdr:to>
    <xdr:graphicFrame macro="">
      <xdr:nvGraphicFramePr>
        <xdr:cNvPr id="3" name="Chart 2">
          <a:extLst>
            <a:ext uri="{FF2B5EF4-FFF2-40B4-BE49-F238E27FC236}">
              <a16:creationId xmlns:a16="http://schemas.microsoft.com/office/drawing/2014/main" id="{CAEBF56D-B1B6-4354-8625-5FD534C69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123824</xdr:colOff>
      <xdr:row>0</xdr:row>
      <xdr:rowOff>128586</xdr:rowOff>
    </xdr:from>
    <xdr:to>
      <xdr:col>11</xdr:col>
      <xdr:colOff>342899</xdr:colOff>
      <xdr:row>18</xdr:row>
      <xdr:rowOff>95249</xdr:rowOff>
    </xdr:to>
    <xdr:graphicFrame macro="">
      <xdr:nvGraphicFramePr>
        <xdr:cNvPr id="2" name="Chart 1">
          <a:extLst>
            <a:ext uri="{FF2B5EF4-FFF2-40B4-BE49-F238E27FC236}">
              <a16:creationId xmlns:a16="http://schemas.microsoft.com/office/drawing/2014/main" id="{24B32959-573C-E9C5-2EB4-C95882A63B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514350</xdr:colOff>
      <xdr:row>0</xdr:row>
      <xdr:rowOff>19050</xdr:rowOff>
    </xdr:from>
    <xdr:to>
      <xdr:col>5</xdr:col>
      <xdr:colOff>514350</xdr:colOff>
      <xdr:row>13</xdr:row>
      <xdr:rowOff>66675</xdr:rowOff>
    </xdr:to>
    <mc:AlternateContent xmlns:mc="http://schemas.openxmlformats.org/markup-compatibility/2006" xmlns:a14="http://schemas.microsoft.com/office/drawing/2010/main">
      <mc:Choice Requires="a14">
        <xdr:graphicFrame macro="">
          <xdr:nvGraphicFramePr>
            <xdr:cNvPr id="2" name="skill">
              <a:extLst>
                <a:ext uri="{FF2B5EF4-FFF2-40B4-BE49-F238E27FC236}">
                  <a16:creationId xmlns:a16="http://schemas.microsoft.com/office/drawing/2014/main" id="{0ED7AB80-6C54-4C5A-210D-FD3FAA091DF1}"/>
                </a:ext>
              </a:extLst>
            </xdr:cNvPr>
            <xdr:cNvGraphicFramePr/>
          </xdr:nvGraphicFramePr>
          <xdr:xfrm>
            <a:off x="0" y="0"/>
            <a:ext cx="0" cy="0"/>
          </xdr:xfrm>
          <a:graphic>
            <a:graphicData uri="http://schemas.microsoft.com/office/drawing/2010/slicer">
              <sle:slicer xmlns:sle="http://schemas.microsoft.com/office/drawing/2010/slicer" name="skill"/>
            </a:graphicData>
          </a:graphic>
        </xdr:graphicFrame>
      </mc:Choice>
      <mc:Fallback xmlns="">
        <xdr:sp macro="" textlink="">
          <xdr:nvSpPr>
            <xdr:cNvPr id="0" name=""/>
            <xdr:cNvSpPr>
              <a:spLocks noTextEdit="1"/>
            </xdr:cNvSpPr>
          </xdr:nvSpPr>
          <xdr:spPr>
            <a:xfrm>
              <a:off x="2371725" y="1905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tle Rampete" refreshedDate="46284.764344444447" createdVersion="8" refreshedVersion="8" minRefreshableVersion="3" recordCount="33" xr:uid="{598BEB49-599F-4423-A1E2-3F774A8A47DB}">
  <cacheSource type="worksheet">
    <worksheetSource name="team_formation"/>
  </cacheSource>
  <cacheFields count="4">
    <cacheField name="respondent_id" numFmtId="0">
      <sharedItems containsBlank="1" count="11">
        <s v="resp01"/>
        <s v="resp02"/>
        <s v="resp03"/>
        <s v="resp04"/>
        <s v="resp06"/>
        <s v="resp07"/>
        <s v="resp08"/>
        <s v="resp09"/>
        <s v="resp10"/>
        <s v="resp11"/>
        <m u="1"/>
      </sharedItems>
      <fieldGroup par="3"/>
    </cacheField>
    <cacheField name="skill" numFmtId="0">
      <sharedItems containsBlank="1" count="9">
        <s v="Spreadsheets"/>
        <s v="SQL"/>
        <s v="Data Manipulation"/>
        <s v="EDA"/>
        <s v="Python or R"/>
        <s v="BI Tools"/>
        <s v="Project  Management"/>
        <s v="Presentation"/>
        <m u="1"/>
      </sharedItems>
    </cacheField>
    <cacheField name="proficiency" numFmtId="0">
      <sharedItems containsBlank="1" count="4">
        <s v="Intermeiate"/>
        <s v="Yes"/>
        <s v="Beginner"/>
        <m u="1"/>
      </sharedItems>
    </cacheField>
    <cacheField name="respondent_id2" numFmtId="0" databaseField="0">
      <fieldGroup base="0">
        <discretePr count="11">
          <x v="3"/>
          <x v="1"/>
          <x v="3"/>
          <x v="2"/>
          <x v="2"/>
          <x v="3"/>
          <x v="1"/>
          <x v="1"/>
          <x v="1"/>
          <x v="2"/>
          <x v="0"/>
        </discretePr>
        <groupItems count="4">
          <m/>
          <s v="Group1"/>
          <s v="Group2"/>
          <s v="Group3"/>
        </groupItems>
      </fieldGroup>
    </cacheField>
  </cacheFields>
  <extLst>
    <ext xmlns:x14="http://schemas.microsoft.com/office/spreadsheetml/2009/9/main" uri="{725AE2AE-9491-48be-B2B4-4EB974FC3084}">
      <x14:pivotCacheDefinition pivotCacheId="7038383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tle Rampete" refreshedDate="46288.458874884258" backgroundQuery="1" createdVersion="8" refreshedVersion="8" minRefreshableVersion="3" recordCount="110" xr:uid="{5B61B358-4C27-4803-9C70-AE9ACBA039AF}">
  <cacheSource type="external" connectionId="2"/>
  <cacheFields count="3">
    <cacheField name="respondent_id" numFmtId="0">
      <sharedItems count="10">
        <s v="resp01"/>
        <s v="resp02"/>
        <s v="resp03"/>
        <s v="resp04"/>
        <s v="resp06"/>
        <s v="resp07"/>
        <s v="resp08"/>
        <s v="resp09"/>
        <s v="resp10"/>
        <s v="resp11"/>
      </sharedItems>
    </cacheField>
    <cacheField name="skill" numFmtId="0">
      <sharedItems count="11">
        <s v="Spreadsheets"/>
        <s v="SQL"/>
        <s v="Python or R"/>
        <s v="BI Tools"/>
        <s v="Data Manipulation"/>
        <s v="EDA"/>
        <s v="Domain Knowledge"/>
        <s v="Project Management"/>
        <s v="Presentation"/>
        <s v="Beginner"/>
        <s v="Active Learner"/>
      </sharedItems>
    </cacheField>
    <cacheField name="proficiency" numFmtId="0">
      <sharedItems count="5">
        <s v="Intermediate"/>
        <s v="None"/>
        <s v="Yes"/>
        <s v="No"/>
        <s v="Beginner"/>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tle Rampete" refreshedDate="46288.492963773147" createdVersion="8" refreshedVersion="8" minRefreshableVersion="3" recordCount="110" xr:uid="{59CDDABB-000C-4836-9D75-FA308BE795BD}">
  <cacheSource type="worksheet">
    <worksheetSource name="clean_dataset"/>
  </cacheSource>
  <cacheFields count="3">
    <cacheField name="respondent_id" numFmtId="0">
      <sharedItems count="10">
        <s v="resp01"/>
        <s v="resp02"/>
        <s v="resp03"/>
        <s v="resp04"/>
        <s v="resp06"/>
        <s v="resp07"/>
        <s v="resp08"/>
        <s v="resp09"/>
        <s v="resp10"/>
        <s v="resp11"/>
      </sharedItems>
    </cacheField>
    <cacheField name="skill" numFmtId="0">
      <sharedItems count="11">
        <s v="Spreadsheets"/>
        <s v="SQL"/>
        <s v="Python or R"/>
        <s v="BI Tools"/>
        <s v="Data Manipulation"/>
        <s v="EDA"/>
        <s v="Domain Knowledge"/>
        <s v="Project Management"/>
        <s v="Presentation"/>
        <s v="Beginner"/>
        <s v="Active Learner"/>
      </sharedItems>
    </cacheField>
    <cacheField name="proficiency" numFmtId="0">
      <sharedItems count="5">
        <s v="Intermediate"/>
        <s v="None"/>
        <s v="Yes"/>
        <s v="No"/>
        <s v="Beginner"/>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tle Rampete" refreshedDate="46288.502541319445" backgroundQuery="1" createdVersion="8" refreshedVersion="8" minRefreshableVersion="3" recordCount="38" xr:uid="{86C42E49-6726-4888-96BC-7FA9CEF4F128}">
  <cacheSource type="external" connectionId="5"/>
  <cacheFields count="4">
    <cacheField name="respondent_id" numFmtId="0">
      <sharedItems containsBlank="1" count="11">
        <s v="resp01"/>
        <s v="resp02"/>
        <s v="resp03"/>
        <s v="resp04"/>
        <s v="resp06"/>
        <s v="resp07"/>
        <s v="resp08"/>
        <s v="resp09"/>
        <s v="resp10"/>
        <s v="resp11"/>
        <m/>
      </sharedItems>
      <fieldGroup par="3"/>
    </cacheField>
    <cacheField name="skill" numFmtId="0">
      <sharedItems containsBlank="1" count="10">
        <s v="Spreadsheets"/>
        <s v="SQL"/>
        <s v="Data Manipulation"/>
        <s v="EDA"/>
        <s v="Active Learner"/>
        <s v="Python or R"/>
        <s v="BI Tools"/>
        <s v="Project Management"/>
        <s v="Presentation"/>
        <m/>
      </sharedItems>
    </cacheField>
    <cacheField name="proficiency" numFmtId="0">
      <sharedItems containsBlank="1" count="4">
        <s v="Intermediate"/>
        <s v="Yes"/>
        <s v="Beginner"/>
        <m/>
      </sharedItems>
    </cacheField>
    <cacheField name="respondent_id2" numFmtId="0" databaseField="0">
      <fieldGroup base="0">
        <discretePr count="11">
          <x v="1"/>
          <x v="2"/>
          <x v="1"/>
          <x v="3"/>
          <x v="3"/>
          <x v="1"/>
          <x v="2"/>
          <x v="2"/>
          <x v="2"/>
          <x v="3"/>
          <x v="0"/>
        </discretePr>
        <groupItems count="4">
          <m/>
          <s v="Group1"/>
          <s v="Group2"/>
          <s v="Group3"/>
        </groupItems>
      </fieldGroup>
    </cacheField>
  </cacheFields>
  <extLst>
    <ext xmlns:x14="http://schemas.microsoft.com/office/spreadsheetml/2009/9/main" uri="{725AE2AE-9491-48be-B2B4-4EB974FC3084}">
      <x14:pivotCacheDefinition pivotCacheId="7779415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x v="0"/>
    <x v="0"/>
    <x v="0"/>
  </r>
  <r>
    <x v="0"/>
    <x v="1"/>
    <x v="0"/>
  </r>
  <r>
    <x v="0"/>
    <x v="2"/>
    <x v="1"/>
  </r>
  <r>
    <x v="0"/>
    <x v="3"/>
    <x v="1"/>
  </r>
  <r>
    <x v="1"/>
    <x v="0"/>
    <x v="0"/>
  </r>
  <r>
    <x v="1"/>
    <x v="1"/>
    <x v="2"/>
  </r>
  <r>
    <x v="1"/>
    <x v="4"/>
    <x v="2"/>
  </r>
  <r>
    <x v="1"/>
    <x v="5"/>
    <x v="2"/>
  </r>
  <r>
    <x v="1"/>
    <x v="6"/>
    <x v="1"/>
  </r>
  <r>
    <x v="2"/>
    <x v="4"/>
    <x v="2"/>
  </r>
  <r>
    <x v="2"/>
    <x v="7"/>
    <x v="1"/>
  </r>
  <r>
    <x v="3"/>
    <x v="0"/>
    <x v="0"/>
  </r>
  <r>
    <x v="3"/>
    <x v="1"/>
    <x v="0"/>
  </r>
  <r>
    <x v="3"/>
    <x v="4"/>
    <x v="0"/>
  </r>
  <r>
    <x v="3"/>
    <x v="5"/>
    <x v="2"/>
  </r>
  <r>
    <x v="3"/>
    <x v="6"/>
    <x v="1"/>
  </r>
  <r>
    <x v="4"/>
    <x v="0"/>
    <x v="2"/>
  </r>
  <r>
    <x v="4"/>
    <x v="1"/>
    <x v="2"/>
  </r>
  <r>
    <x v="4"/>
    <x v="4"/>
    <x v="2"/>
  </r>
  <r>
    <x v="4"/>
    <x v="5"/>
    <x v="2"/>
  </r>
  <r>
    <x v="4"/>
    <x v="7"/>
    <x v="1"/>
  </r>
  <r>
    <x v="5"/>
    <x v="0"/>
    <x v="0"/>
  </r>
  <r>
    <x v="5"/>
    <x v="1"/>
    <x v="2"/>
  </r>
  <r>
    <x v="5"/>
    <x v="5"/>
    <x v="2"/>
  </r>
  <r>
    <x v="5"/>
    <x v="6"/>
    <x v="1"/>
  </r>
  <r>
    <x v="5"/>
    <x v="7"/>
    <x v="1"/>
  </r>
  <r>
    <x v="6"/>
    <x v="4"/>
    <x v="2"/>
  </r>
  <r>
    <x v="7"/>
    <x v="0"/>
    <x v="2"/>
  </r>
  <r>
    <x v="7"/>
    <x v="7"/>
    <x v="1"/>
  </r>
  <r>
    <x v="8"/>
    <x v="0"/>
    <x v="0"/>
  </r>
  <r>
    <x v="8"/>
    <x v="6"/>
    <x v="1"/>
  </r>
  <r>
    <x v="8"/>
    <x v="7"/>
    <x v="1"/>
  </r>
  <r>
    <x v="9"/>
    <x v="0"/>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
  <r>
    <x v="0"/>
    <x v="0"/>
    <x v="0"/>
  </r>
  <r>
    <x v="0"/>
    <x v="1"/>
    <x v="0"/>
  </r>
  <r>
    <x v="0"/>
    <x v="2"/>
    <x v="1"/>
  </r>
  <r>
    <x v="0"/>
    <x v="3"/>
    <x v="1"/>
  </r>
  <r>
    <x v="0"/>
    <x v="4"/>
    <x v="2"/>
  </r>
  <r>
    <x v="0"/>
    <x v="5"/>
    <x v="2"/>
  </r>
  <r>
    <x v="0"/>
    <x v="6"/>
    <x v="3"/>
  </r>
  <r>
    <x v="0"/>
    <x v="7"/>
    <x v="3"/>
  </r>
  <r>
    <x v="0"/>
    <x v="8"/>
    <x v="3"/>
  </r>
  <r>
    <x v="0"/>
    <x v="9"/>
    <x v="3"/>
  </r>
  <r>
    <x v="0"/>
    <x v="10"/>
    <x v="2"/>
  </r>
  <r>
    <x v="1"/>
    <x v="0"/>
    <x v="0"/>
  </r>
  <r>
    <x v="1"/>
    <x v="1"/>
    <x v="4"/>
  </r>
  <r>
    <x v="1"/>
    <x v="2"/>
    <x v="4"/>
  </r>
  <r>
    <x v="1"/>
    <x v="3"/>
    <x v="4"/>
  </r>
  <r>
    <x v="1"/>
    <x v="4"/>
    <x v="3"/>
  </r>
  <r>
    <x v="1"/>
    <x v="5"/>
    <x v="3"/>
  </r>
  <r>
    <x v="1"/>
    <x v="6"/>
    <x v="3"/>
  </r>
  <r>
    <x v="1"/>
    <x v="7"/>
    <x v="2"/>
  </r>
  <r>
    <x v="1"/>
    <x v="8"/>
    <x v="3"/>
  </r>
  <r>
    <x v="1"/>
    <x v="9"/>
    <x v="3"/>
  </r>
  <r>
    <x v="1"/>
    <x v="10"/>
    <x v="3"/>
  </r>
  <r>
    <x v="2"/>
    <x v="0"/>
    <x v="1"/>
  </r>
  <r>
    <x v="2"/>
    <x v="1"/>
    <x v="1"/>
  </r>
  <r>
    <x v="2"/>
    <x v="2"/>
    <x v="4"/>
  </r>
  <r>
    <x v="2"/>
    <x v="3"/>
    <x v="1"/>
  </r>
  <r>
    <x v="2"/>
    <x v="4"/>
    <x v="3"/>
  </r>
  <r>
    <x v="2"/>
    <x v="5"/>
    <x v="3"/>
  </r>
  <r>
    <x v="2"/>
    <x v="6"/>
    <x v="3"/>
  </r>
  <r>
    <x v="2"/>
    <x v="7"/>
    <x v="3"/>
  </r>
  <r>
    <x v="2"/>
    <x v="8"/>
    <x v="2"/>
  </r>
  <r>
    <x v="2"/>
    <x v="9"/>
    <x v="2"/>
  </r>
  <r>
    <x v="2"/>
    <x v="10"/>
    <x v="3"/>
  </r>
  <r>
    <x v="3"/>
    <x v="0"/>
    <x v="0"/>
  </r>
  <r>
    <x v="3"/>
    <x v="1"/>
    <x v="0"/>
  </r>
  <r>
    <x v="3"/>
    <x v="2"/>
    <x v="0"/>
  </r>
  <r>
    <x v="3"/>
    <x v="3"/>
    <x v="4"/>
  </r>
  <r>
    <x v="3"/>
    <x v="4"/>
    <x v="3"/>
  </r>
  <r>
    <x v="3"/>
    <x v="5"/>
    <x v="3"/>
  </r>
  <r>
    <x v="3"/>
    <x v="6"/>
    <x v="3"/>
  </r>
  <r>
    <x v="3"/>
    <x v="7"/>
    <x v="2"/>
  </r>
  <r>
    <x v="3"/>
    <x v="8"/>
    <x v="3"/>
  </r>
  <r>
    <x v="3"/>
    <x v="9"/>
    <x v="3"/>
  </r>
  <r>
    <x v="3"/>
    <x v="10"/>
    <x v="2"/>
  </r>
  <r>
    <x v="4"/>
    <x v="0"/>
    <x v="4"/>
  </r>
  <r>
    <x v="4"/>
    <x v="1"/>
    <x v="4"/>
  </r>
  <r>
    <x v="4"/>
    <x v="2"/>
    <x v="4"/>
  </r>
  <r>
    <x v="4"/>
    <x v="3"/>
    <x v="4"/>
  </r>
  <r>
    <x v="4"/>
    <x v="4"/>
    <x v="3"/>
  </r>
  <r>
    <x v="4"/>
    <x v="5"/>
    <x v="3"/>
  </r>
  <r>
    <x v="4"/>
    <x v="6"/>
    <x v="3"/>
  </r>
  <r>
    <x v="4"/>
    <x v="7"/>
    <x v="3"/>
  </r>
  <r>
    <x v="4"/>
    <x v="8"/>
    <x v="2"/>
  </r>
  <r>
    <x v="4"/>
    <x v="9"/>
    <x v="3"/>
  </r>
  <r>
    <x v="4"/>
    <x v="10"/>
    <x v="3"/>
  </r>
  <r>
    <x v="5"/>
    <x v="0"/>
    <x v="0"/>
  </r>
  <r>
    <x v="5"/>
    <x v="1"/>
    <x v="4"/>
  </r>
  <r>
    <x v="5"/>
    <x v="2"/>
    <x v="1"/>
  </r>
  <r>
    <x v="5"/>
    <x v="3"/>
    <x v="4"/>
  </r>
  <r>
    <x v="5"/>
    <x v="4"/>
    <x v="3"/>
  </r>
  <r>
    <x v="5"/>
    <x v="5"/>
    <x v="3"/>
  </r>
  <r>
    <x v="5"/>
    <x v="6"/>
    <x v="3"/>
  </r>
  <r>
    <x v="5"/>
    <x v="7"/>
    <x v="2"/>
  </r>
  <r>
    <x v="5"/>
    <x v="8"/>
    <x v="2"/>
  </r>
  <r>
    <x v="5"/>
    <x v="9"/>
    <x v="3"/>
  </r>
  <r>
    <x v="5"/>
    <x v="10"/>
    <x v="3"/>
  </r>
  <r>
    <x v="6"/>
    <x v="0"/>
    <x v="1"/>
  </r>
  <r>
    <x v="6"/>
    <x v="1"/>
    <x v="1"/>
  </r>
  <r>
    <x v="6"/>
    <x v="2"/>
    <x v="4"/>
  </r>
  <r>
    <x v="6"/>
    <x v="3"/>
    <x v="1"/>
  </r>
  <r>
    <x v="6"/>
    <x v="4"/>
    <x v="3"/>
  </r>
  <r>
    <x v="6"/>
    <x v="5"/>
    <x v="3"/>
  </r>
  <r>
    <x v="6"/>
    <x v="6"/>
    <x v="3"/>
  </r>
  <r>
    <x v="6"/>
    <x v="7"/>
    <x v="3"/>
  </r>
  <r>
    <x v="6"/>
    <x v="8"/>
    <x v="3"/>
  </r>
  <r>
    <x v="6"/>
    <x v="9"/>
    <x v="2"/>
  </r>
  <r>
    <x v="6"/>
    <x v="10"/>
    <x v="2"/>
  </r>
  <r>
    <x v="7"/>
    <x v="0"/>
    <x v="4"/>
  </r>
  <r>
    <x v="7"/>
    <x v="1"/>
    <x v="1"/>
  </r>
  <r>
    <x v="7"/>
    <x v="2"/>
    <x v="1"/>
  </r>
  <r>
    <x v="7"/>
    <x v="3"/>
    <x v="1"/>
  </r>
  <r>
    <x v="7"/>
    <x v="4"/>
    <x v="3"/>
  </r>
  <r>
    <x v="7"/>
    <x v="5"/>
    <x v="3"/>
  </r>
  <r>
    <x v="7"/>
    <x v="6"/>
    <x v="3"/>
  </r>
  <r>
    <x v="7"/>
    <x v="7"/>
    <x v="3"/>
  </r>
  <r>
    <x v="7"/>
    <x v="8"/>
    <x v="2"/>
  </r>
  <r>
    <x v="7"/>
    <x v="9"/>
    <x v="2"/>
  </r>
  <r>
    <x v="7"/>
    <x v="10"/>
    <x v="3"/>
  </r>
  <r>
    <x v="8"/>
    <x v="0"/>
    <x v="0"/>
  </r>
  <r>
    <x v="8"/>
    <x v="1"/>
    <x v="1"/>
  </r>
  <r>
    <x v="8"/>
    <x v="2"/>
    <x v="1"/>
  </r>
  <r>
    <x v="8"/>
    <x v="3"/>
    <x v="1"/>
  </r>
  <r>
    <x v="8"/>
    <x v="4"/>
    <x v="3"/>
  </r>
  <r>
    <x v="8"/>
    <x v="5"/>
    <x v="3"/>
  </r>
  <r>
    <x v="8"/>
    <x v="6"/>
    <x v="3"/>
  </r>
  <r>
    <x v="8"/>
    <x v="7"/>
    <x v="2"/>
  </r>
  <r>
    <x v="8"/>
    <x v="8"/>
    <x v="2"/>
  </r>
  <r>
    <x v="8"/>
    <x v="9"/>
    <x v="2"/>
  </r>
  <r>
    <x v="8"/>
    <x v="10"/>
    <x v="3"/>
  </r>
  <r>
    <x v="9"/>
    <x v="0"/>
    <x v="4"/>
  </r>
  <r>
    <x v="9"/>
    <x v="1"/>
    <x v="1"/>
  </r>
  <r>
    <x v="9"/>
    <x v="2"/>
    <x v="1"/>
  </r>
  <r>
    <x v="9"/>
    <x v="3"/>
    <x v="1"/>
  </r>
  <r>
    <x v="9"/>
    <x v="4"/>
    <x v="3"/>
  </r>
  <r>
    <x v="9"/>
    <x v="5"/>
    <x v="3"/>
  </r>
  <r>
    <x v="9"/>
    <x v="6"/>
    <x v="3"/>
  </r>
  <r>
    <x v="9"/>
    <x v="7"/>
    <x v="3"/>
  </r>
  <r>
    <x v="9"/>
    <x v="8"/>
    <x v="3"/>
  </r>
  <r>
    <x v="9"/>
    <x v="9"/>
    <x v="2"/>
  </r>
  <r>
    <x v="9"/>
    <x v="10"/>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
  <r>
    <x v="0"/>
    <x v="0"/>
    <x v="0"/>
  </r>
  <r>
    <x v="0"/>
    <x v="1"/>
    <x v="0"/>
  </r>
  <r>
    <x v="0"/>
    <x v="2"/>
    <x v="1"/>
  </r>
  <r>
    <x v="0"/>
    <x v="3"/>
    <x v="1"/>
  </r>
  <r>
    <x v="0"/>
    <x v="4"/>
    <x v="2"/>
  </r>
  <r>
    <x v="0"/>
    <x v="5"/>
    <x v="2"/>
  </r>
  <r>
    <x v="0"/>
    <x v="6"/>
    <x v="3"/>
  </r>
  <r>
    <x v="0"/>
    <x v="7"/>
    <x v="3"/>
  </r>
  <r>
    <x v="0"/>
    <x v="8"/>
    <x v="3"/>
  </r>
  <r>
    <x v="0"/>
    <x v="9"/>
    <x v="3"/>
  </r>
  <r>
    <x v="0"/>
    <x v="10"/>
    <x v="2"/>
  </r>
  <r>
    <x v="1"/>
    <x v="0"/>
    <x v="0"/>
  </r>
  <r>
    <x v="1"/>
    <x v="1"/>
    <x v="4"/>
  </r>
  <r>
    <x v="1"/>
    <x v="2"/>
    <x v="4"/>
  </r>
  <r>
    <x v="1"/>
    <x v="3"/>
    <x v="4"/>
  </r>
  <r>
    <x v="1"/>
    <x v="4"/>
    <x v="3"/>
  </r>
  <r>
    <x v="1"/>
    <x v="5"/>
    <x v="3"/>
  </r>
  <r>
    <x v="1"/>
    <x v="6"/>
    <x v="3"/>
  </r>
  <r>
    <x v="1"/>
    <x v="7"/>
    <x v="2"/>
  </r>
  <r>
    <x v="1"/>
    <x v="8"/>
    <x v="3"/>
  </r>
  <r>
    <x v="1"/>
    <x v="9"/>
    <x v="3"/>
  </r>
  <r>
    <x v="1"/>
    <x v="10"/>
    <x v="3"/>
  </r>
  <r>
    <x v="2"/>
    <x v="0"/>
    <x v="1"/>
  </r>
  <r>
    <x v="2"/>
    <x v="1"/>
    <x v="1"/>
  </r>
  <r>
    <x v="2"/>
    <x v="2"/>
    <x v="4"/>
  </r>
  <r>
    <x v="2"/>
    <x v="3"/>
    <x v="1"/>
  </r>
  <r>
    <x v="2"/>
    <x v="4"/>
    <x v="3"/>
  </r>
  <r>
    <x v="2"/>
    <x v="5"/>
    <x v="3"/>
  </r>
  <r>
    <x v="2"/>
    <x v="6"/>
    <x v="3"/>
  </r>
  <r>
    <x v="2"/>
    <x v="7"/>
    <x v="3"/>
  </r>
  <r>
    <x v="2"/>
    <x v="8"/>
    <x v="2"/>
  </r>
  <r>
    <x v="2"/>
    <x v="9"/>
    <x v="2"/>
  </r>
  <r>
    <x v="2"/>
    <x v="10"/>
    <x v="3"/>
  </r>
  <r>
    <x v="3"/>
    <x v="0"/>
    <x v="0"/>
  </r>
  <r>
    <x v="3"/>
    <x v="1"/>
    <x v="0"/>
  </r>
  <r>
    <x v="3"/>
    <x v="2"/>
    <x v="0"/>
  </r>
  <r>
    <x v="3"/>
    <x v="3"/>
    <x v="4"/>
  </r>
  <r>
    <x v="3"/>
    <x v="4"/>
    <x v="3"/>
  </r>
  <r>
    <x v="3"/>
    <x v="5"/>
    <x v="3"/>
  </r>
  <r>
    <x v="3"/>
    <x v="6"/>
    <x v="3"/>
  </r>
  <r>
    <x v="3"/>
    <x v="7"/>
    <x v="2"/>
  </r>
  <r>
    <x v="3"/>
    <x v="8"/>
    <x v="3"/>
  </r>
  <r>
    <x v="3"/>
    <x v="9"/>
    <x v="3"/>
  </r>
  <r>
    <x v="3"/>
    <x v="10"/>
    <x v="2"/>
  </r>
  <r>
    <x v="4"/>
    <x v="0"/>
    <x v="4"/>
  </r>
  <r>
    <x v="4"/>
    <x v="1"/>
    <x v="4"/>
  </r>
  <r>
    <x v="4"/>
    <x v="2"/>
    <x v="4"/>
  </r>
  <r>
    <x v="4"/>
    <x v="3"/>
    <x v="4"/>
  </r>
  <r>
    <x v="4"/>
    <x v="4"/>
    <x v="3"/>
  </r>
  <r>
    <x v="4"/>
    <x v="5"/>
    <x v="3"/>
  </r>
  <r>
    <x v="4"/>
    <x v="6"/>
    <x v="3"/>
  </r>
  <r>
    <x v="4"/>
    <x v="7"/>
    <x v="3"/>
  </r>
  <r>
    <x v="4"/>
    <x v="8"/>
    <x v="2"/>
  </r>
  <r>
    <x v="4"/>
    <x v="9"/>
    <x v="3"/>
  </r>
  <r>
    <x v="4"/>
    <x v="10"/>
    <x v="3"/>
  </r>
  <r>
    <x v="5"/>
    <x v="0"/>
    <x v="0"/>
  </r>
  <r>
    <x v="5"/>
    <x v="1"/>
    <x v="4"/>
  </r>
  <r>
    <x v="5"/>
    <x v="2"/>
    <x v="1"/>
  </r>
  <r>
    <x v="5"/>
    <x v="3"/>
    <x v="4"/>
  </r>
  <r>
    <x v="5"/>
    <x v="4"/>
    <x v="3"/>
  </r>
  <r>
    <x v="5"/>
    <x v="5"/>
    <x v="3"/>
  </r>
  <r>
    <x v="5"/>
    <x v="6"/>
    <x v="3"/>
  </r>
  <r>
    <x v="5"/>
    <x v="7"/>
    <x v="2"/>
  </r>
  <r>
    <x v="5"/>
    <x v="8"/>
    <x v="2"/>
  </r>
  <r>
    <x v="5"/>
    <x v="9"/>
    <x v="3"/>
  </r>
  <r>
    <x v="5"/>
    <x v="10"/>
    <x v="3"/>
  </r>
  <r>
    <x v="6"/>
    <x v="0"/>
    <x v="1"/>
  </r>
  <r>
    <x v="6"/>
    <x v="1"/>
    <x v="1"/>
  </r>
  <r>
    <x v="6"/>
    <x v="2"/>
    <x v="4"/>
  </r>
  <r>
    <x v="6"/>
    <x v="3"/>
    <x v="1"/>
  </r>
  <r>
    <x v="6"/>
    <x v="4"/>
    <x v="3"/>
  </r>
  <r>
    <x v="6"/>
    <x v="5"/>
    <x v="3"/>
  </r>
  <r>
    <x v="6"/>
    <x v="6"/>
    <x v="3"/>
  </r>
  <r>
    <x v="6"/>
    <x v="7"/>
    <x v="3"/>
  </r>
  <r>
    <x v="6"/>
    <x v="8"/>
    <x v="3"/>
  </r>
  <r>
    <x v="6"/>
    <x v="9"/>
    <x v="2"/>
  </r>
  <r>
    <x v="6"/>
    <x v="10"/>
    <x v="2"/>
  </r>
  <r>
    <x v="7"/>
    <x v="0"/>
    <x v="4"/>
  </r>
  <r>
    <x v="7"/>
    <x v="1"/>
    <x v="1"/>
  </r>
  <r>
    <x v="7"/>
    <x v="2"/>
    <x v="1"/>
  </r>
  <r>
    <x v="7"/>
    <x v="3"/>
    <x v="1"/>
  </r>
  <r>
    <x v="7"/>
    <x v="4"/>
    <x v="3"/>
  </r>
  <r>
    <x v="7"/>
    <x v="5"/>
    <x v="3"/>
  </r>
  <r>
    <x v="7"/>
    <x v="6"/>
    <x v="3"/>
  </r>
  <r>
    <x v="7"/>
    <x v="7"/>
    <x v="3"/>
  </r>
  <r>
    <x v="7"/>
    <x v="8"/>
    <x v="2"/>
  </r>
  <r>
    <x v="7"/>
    <x v="9"/>
    <x v="2"/>
  </r>
  <r>
    <x v="7"/>
    <x v="10"/>
    <x v="3"/>
  </r>
  <r>
    <x v="8"/>
    <x v="0"/>
    <x v="0"/>
  </r>
  <r>
    <x v="8"/>
    <x v="1"/>
    <x v="1"/>
  </r>
  <r>
    <x v="8"/>
    <x v="2"/>
    <x v="1"/>
  </r>
  <r>
    <x v="8"/>
    <x v="3"/>
    <x v="1"/>
  </r>
  <r>
    <x v="8"/>
    <x v="4"/>
    <x v="3"/>
  </r>
  <r>
    <x v="8"/>
    <x v="5"/>
    <x v="3"/>
  </r>
  <r>
    <x v="8"/>
    <x v="6"/>
    <x v="3"/>
  </r>
  <r>
    <x v="8"/>
    <x v="7"/>
    <x v="2"/>
  </r>
  <r>
    <x v="8"/>
    <x v="8"/>
    <x v="2"/>
  </r>
  <r>
    <x v="8"/>
    <x v="9"/>
    <x v="2"/>
  </r>
  <r>
    <x v="8"/>
    <x v="10"/>
    <x v="3"/>
  </r>
  <r>
    <x v="9"/>
    <x v="0"/>
    <x v="4"/>
  </r>
  <r>
    <x v="9"/>
    <x v="1"/>
    <x v="1"/>
  </r>
  <r>
    <x v="9"/>
    <x v="2"/>
    <x v="1"/>
  </r>
  <r>
    <x v="9"/>
    <x v="3"/>
    <x v="1"/>
  </r>
  <r>
    <x v="9"/>
    <x v="4"/>
    <x v="3"/>
  </r>
  <r>
    <x v="9"/>
    <x v="5"/>
    <x v="3"/>
  </r>
  <r>
    <x v="9"/>
    <x v="6"/>
    <x v="3"/>
  </r>
  <r>
    <x v="9"/>
    <x v="7"/>
    <x v="3"/>
  </r>
  <r>
    <x v="9"/>
    <x v="8"/>
    <x v="3"/>
  </r>
  <r>
    <x v="9"/>
    <x v="9"/>
    <x v="2"/>
  </r>
  <r>
    <x v="9"/>
    <x v="10"/>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x v="0"/>
    <x v="0"/>
    <x v="0"/>
  </r>
  <r>
    <x v="0"/>
    <x v="1"/>
    <x v="0"/>
  </r>
  <r>
    <x v="0"/>
    <x v="2"/>
    <x v="1"/>
  </r>
  <r>
    <x v="0"/>
    <x v="3"/>
    <x v="1"/>
  </r>
  <r>
    <x v="0"/>
    <x v="4"/>
    <x v="1"/>
  </r>
  <r>
    <x v="1"/>
    <x v="0"/>
    <x v="0"/>
  </r>
  <r>
    <x v="1"/>
    <x v="1"/>
    <x v="2"/>
  </r>
  <r>
    <x v="1"/>
    <x v="5"/>
    <x v="2"/>
  </r>
  <r>
    <x v="1"/>
    <x v="6"/>
    <x v="2"/>
  </r>
  <r>
    <x v="1"/>
    <x v="7"/>
    <x v="1"/>
  </r>
  <r>
    <x v="2"/>
    <x v="5"/>
    <x v="2"/>
  </r>
  <r>
    <x v="2"/>
    <x v="8"/>
    <x v="1"/>
  </r>
  <r>
    <x v="3"/>
    <x v="0"/>
    <x v="0"/>
  </r>
  <r>
    <x v="3"/>
    <x v="1"/>
    <x v="0"/>
  </r>
  <r>
    <x v="3"/>
    <x v="5"/>
    <x v="0"/>
  </r>
  <r>
    <x v="3"/>
    <x v="6"/>
    <x v="2"/>
  </r>
  <r>
    <x v="3"/>
    <x v="7"/>
    <x v="1"/>
  </r>
  <r>
    <x v="3"/>
    <x v="4"/>
    <x v="1"/>
  </r>
  <r>
    <x v="4"/>
    <x v="0"/>
    <x v="2"/>
  </r>
  <r>
    <x v="4"/>
    <x v="1"/>
    <x v="2"/>
  </r>
  <r>
    <x v="4"/>
    <x v="5"/>
    <x v="2"/>
  </r>
  <r>
    <x v="4"/>
    <x v="6"/>
    <x v="2"/>
  </r>
  <r>
    <x v="4"/>
    <x v="8"/>
    <x v="1"/>
  </r>
  <r>
    <x v="5"/>
    <x v="0"/>
    <x v="0"/>
  </r>
  <r>
    <x v="5"/>
    <x v="1"/>
    <x v="2"/>
  </r>
  <r>
    <x v="5"/>
    <x v="6"/>
    <x v="2"/>
  </r>
  <r>
    <x v="5"/>
    <x v="7"/>
    <x v="1"/>
  </r>
  <r>
    <x v="5"/>
    <x v="8"/>
    <x v="1"/>
  </r>
  <r>
    <x v="6"/>
    <x v="5"/>
    <x v="2"/>
  </r>
  <r>
    <x v="6"/>
    <x v="4"/>
    <x v="1"/>
  </r>
  <r>
    <x v="7"/>
    <x v="0"/>
    <x v="2"/>
  </r>
  <r>
    <x v="7"/>
    <x v="8"/>
    <x v="1"/>
  </r>
  <r>
    <x v="8"/>
    <x v="0"/>
    <x v="0"/>
  </r>
  <r>
    <x v="8"/>
    <x v="7"/>
    <x v="1"/>
  </r>
  <r>
    <x v="8"/>
    <x v="8"/>
    <x v="1"/>
  </r>
  <r>
    <x v="9"/>
    <x v="0"/>
    <x v="2"/>
  </r>
  <r>
    <x v="10"/>
    <x v="9"/>
    <x v="3"/>
  </r>
  <r>
    <x v="10"/>
    <x v="9"/>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172161-D051-4234-AB5F-A229AD25839B}" name="PivotTable2"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chartFormat="27">
  <location ref="A1:B9" firstHeaderRow="1" firstDataRow="1" firstDataCol="1"/>
  <pivotFields count="4">
    <pivotField compact="0" showAll="0" defaultSubtotal="0">
      <items count="11">
        <item x="0"/>
        <item x="1"/>
        <item x="2"/>
        <item x="3"/>
        <item x="4"/>
        <item x="5"/>
        <item x="6"/>
        <item x="7"/>
        <item x="8"/>
        <item x="9"/>
        <item m="1" x="10"/>
      </items>
    </pivotField>
    <pivotField axis="axisRow" dataField="1" compact="0" showAll="0" sortType="ascending" defaultSubtotal="0">
      <items count="9">
        <item x="5"/>
        <item x="2"/>
        <item x="3"/>
        <item x="7"/>
        <item x="6"/>
        <item x="4"/>
        <item x="0"/>
        <item x="1"/>
        <item h="1" m="1" x="8"/>
      </items>
      <autoSortScope>
        <pivotArea dataOnly="0" outline="0" fieldPosition="0">
          <references count="1">
            <reference field="4294967294" count="1" selected="0">
              <x v="0"/>
            </reference>
          </references>
        </pivotArea>
      </autoSortScope>
    </pivotField>
    <pivotField compact="0" showAll="0" defaultSubtotal="0"/>
    <pivotField name="Team" compact="0" multipleItemSelectionAllowed="1" showAll="0" defaultSubtotal="0">
      <items count="4">
        <item n="Team A" h="1" x="3"/>
        <item n="Team B" x="1"/>
        <item n="Team C" h="1" x="2"/>
        <item h="1" x="0"/>
      </items>
    </pivotField>
  </pivotFields>
  <rowFields count="1">
    <field x="1"/>
  </rowFields>
  <rowItems count="8">
    <i>
      <x v="1"/>
    </i>
    <i>
      <x v="2"/>
    </i>
    <i>
      <x v="4"/>
    </i>
    <i>
      <x/>
    </i>
    <i>
      <x v="3"/>
    </i>
    <i>
      <x v="7"/>
    </i>
    <i>
      <x v="5"/>
    </i>
    <i>
      <x v="6"/>
    </i>
  </rowItems>
  <colItems count="1">
    <i/>
  </colItems>
  <dataFields count="1">
    <dataField name="Skill Count" fld="1" subtotal="count" baseField="0" baseItem="0"/>
  </dataFields>
  <chartFormats count="3">
    <chartFormat chart="0"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1C9DD1-53B0-48D6-9A24-D9D6F0164428}" name="PivotTable1"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fieldListSortAscending="1">
  <location ref="A1:C5" firstHeaderRow="1" firstDataRow="2" firstDataCol="1"/>
  <pivotFields count="3">
    <pivotField showAll="0"/>
    <pivotField axis="axisRow" dataField="1" showAll="0">
      <items count="12">
        <item h="1" x="10"/>
        <item h="1" x="9"/>
        <item h="1" x="3"/>
        <item x="6"/>
        <item x="4"/>
        <item x="5"/>
        <item h="1" x="8"/>
        <item h="1" x="7"/>
        <item h="1" x="2"/>
        <item h="1" x="0"/>
        <item h="1" x="1"/>
        <item t="default"/>
      </items>
    </pivotField>
    <pivotField axis="axisCol" showAll="0">
      <items count="6">
        <item x="4"/>
        <item x="0"/>
        <item x="3"/>
        <item x="1"/>
        <item x="2"/>
        <item t="default"/>
      </items>
    </pivotField>
  </pivotFields>
  <rowFields count="1">
    <field x="1"/>
  </rowFields>
  <rowItems count="3">
    <i>
      <x v="3"/>
    </i>
    <i>
      <x v="4"/>
    </i>
    <i>
      <x v="5"/>
    </i>
  </rowItems>
  <colFields count="1">
    <field x="2"/>
  </colFields>
  <colItems count="2">
    <i>
      <x v="2"/>
    </i>
    <i>
      <x v="4"/>
    </i>
  </colItems>
  <dataFields count="1">
    <dataField name="Count of skill" fld="1" subtotal="count" baseField="0" baseItem="0"/>
  </dataFields>
  <chartFormats count="8">
    <chartFormat chart="0" format="0" series="1">
      <pivotArea type="data" outline="0" fieldPosition="0">
        <references count="2">
          <reference field="4294967294" count="1" selected="0">
            <x v="0"/>
          </reference>
          <reference field="2" count="1" selected="0">
            <x v="2"/>
          </reference>
        </references>
      </pivotArea>
    </chartFormat>
    <chartFormat chart="0" format="1" series="1">
      <pivotArea type="data" outline="0" fieldPosition="0">
        <references count="2">
          <reference field="4294967294" count="1" selected="0">
            <x v="0"/>
          </reference>
          <reference field="2" count="1" selected="0">
            <x v="4"/>
          </reference>
        </references>
      </pivotArea>
    </chartFormat>
    <chartFormat chart="3" format="2" series="1">
      <pivotArea type="data" outline="0" fieldPosition="0">
        <references count="2">
          <reference field="4294967294" count="1" selected="0">
            <x v="0"/>
          </reference>
          <reference field="2" count="1" selected="0">
            <x v="2"/>
          </reference>
        </references>
      </pivotArea>
    </chartFormat>
    <chartFormat chart="3" format="3" series="1">
      <pivotArea type="data" outline="0" fieldPosition="0">
        <references count="2">
          <reference field="4294967294" count="1" selected="0">
            <x v="0"/>
          </reference>
          <reference field="2" count="1" selected="0">
            <x v="4"/>
          </reference>
        </references>
      </pivotArea>
    </chartFormat>
    <chartFormat chart="4" format="4" series="1">
      <pivotArea type="data" outline="0" fieldPosition="0">
        <references count="2">
          <reference field="4294967294" count="1" selected="0">
            <x v="0"/>
          </reference>
          <reference field="2" count="1" selected="0">
            <x v="2"/>
          </reference>
        </references>
      </pivotArea>
    </chartFormat>
    <chartFormat chart="4" format="5" series="1">
      <pivotArea type="data" outline="0" fieldPosition="0">
        <references count="2">
          <reference field="4294967294" count="1" selected="0">
            <x v="0"/>
          </reference>
          <reference field="2" count="1" selected="0">
            <x v="4"/>
          </reference>
        </references>
      </pivotArea>
    </chartFormat>
    <chartFormat chart="7" format="0" series="1">
      <pivotArea type="data" outline="0" fieldPosition="0">
        <references count="2">
          <reference field="4294967294" count="1" selected="0">
            <x v="0"/>
          </reference>
          <reference field="2" count="1" selected="0">
            <x v="2"/>
          </reference>
        </references>
      </pivotArea>
    </chartFormat>
    <chartFormat chart="7" format="1"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90E806-7906-43CF-958F-C5C81B9573C5}" name="PivotTable3"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chartFormat="20">
  <location ref="A1:C6" firstHeaderRow="1" firstDataRow="2" firstDataCol="1"/>
  <pivotFields count="4">
    <pivotField compact="0" showAll="0">
      <items count="12">
        <item x="0"/>
        <item x="1"/>
        <item x="2"/>
        <item x="3"/>
        <item x="4"/>
        <item x="5"/>
        <item x="6"/>
        <item x="7"/>
        <item x="8"/>
        <item x="9"/>
        <item m="1" x="10"/>
        <item t="default"/>
      </items>
    </pivotField>
    <pivotField axis="axisRow" compact="0" multipleItemSelectionAllowed="1" showAll="0">
      <items count="10">
        <item h="1" m="1" x="8"/>
        <item x="0"/>
        <item x="1"/>
        <item x="4"/>
        <item h="1" x="6"/>
        <item h="1" x="7"/>
        <item h="1" x="3"/>
        <item h="1" x="2"/>
        <item x="5"/>
        <item t="default"/>
      </items>
    </pivotField>
    <pivotField axis="axisCol" dataField="1" compact="0" showAll="0">
      <items count="5">
        <item x="2"/>
        <item x="0"/>
        <item x="1"/>
        <item h="1" m="1" x="3"/>
        <item t="default"/>
      </items>
    </pivotField>
    <pivotField compact="0" showAll="0" defaultSubtotal="0">
      <items count="4">
        <item h="1" x="0"/>
        <item x="1"/>
        <item h="1" x="2"/>
        <item h="1" x="3"/>
      </items>
    </pivotField>
  </pivotFields>
  <rowFields count="1">
    <field x="1"/>
  </rowFields>
  <rowItems count="4">
    <i>
      <x v="1"/>
    </i>
    <i>
      <x v="2"/>
    </i>
    <i>
      <x v="3"/>
    </i>
    <i>
      <x v="8"/>
    </i>
  </rowItems>
  <colFields count="1">
    <field x="2"/>
  </colFields>
  <colItems count="2">
    <i>
      <x/>
    </i>
    <i>
      <x v="1"/>
    </i>
  </colItems>
  <dataFields count="1">
    <dataField name="Count of proficiency" fld="2"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2">
          <reference field="4294967294" count="1" selected="0">
            <x v="0"/>
          </reference>
          <reference field="2" count="1" selected="0">
            <x v="1"/>
          </reference>
        </references>
      </pivotArea>
    </chartFormat>
    <chartFormat chart="11" format="2" series="1">
      <pivotArea type="data" outline="0" fieldPosition="0">
        <references count="2">
          <reference field="4294967294" count="1" selected="0">
            <x v="0"/>
          </reference>
          <reference field="2" count="1" selected="0">
            <x v="0"/>
          </reference>
        </references>
      </pivotArea>
    </chartFormat>
    <chartFormat chart="19" format="5" series="1">
      <pivotArea type="data" outline="0" fieldPosition="0">
        <references count="2">
          <reference field="4294967294" count="1" selected="0">
            <x v="0"/>
          </reference>
          <reference field="2" count="1" selected="0">
            <x v="0"/>
          </reference>
        </references>
      </pivotArea>
    </chartFormat>
    <chartFormat chart="19" format="6"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C78194-9DB1-48F2-AEB7-5C129A186586}" name="PivotTable1"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4:B14" firstHeaderRow="1" firstDataRow="1" firstDataCol="1" rowPageCount="2" colPageCount="1"/>
  <pivotFields count="3">
    <pivotField axis="axisRow" showAll="0" sortType="a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xis="axisPage" dataField="1" multipleItemSelectionAllowed="1" showAll="0">
      <items count="12">
        <item h="1" x="10"/>
        <item h="1" x="9"/>
        <item x="3"/>
        <item x="4"/>
        <item x="6"/>
        <item x="5"/>
        <item x="8"/>
        <item x="7"/>
        <item x="2"/>
        <item x="0"/>
        <item x="1"/>
        <item t="default"/>
      </items>
    </pivotField>
    <pivotField axis="axisPage" multipleItemSelectionAllowed="1" showAll="0">
      <items count="6">
        <item x="4"/>
        <item x="0"/>
        <item h="1" x="3"/>
        <item h="1" x="1"/>
        <item x="2"/>
        <item t="default"/>
      </items>
    </pivotField>
  </pivotFields>
  <rowFields count="1">
    <field x="0"/>
  </rowFields>
  <rowItems count="10">
    <i>
      <x v="9"/>
    </i>
    <i>
      <x v="6"/>
    </i>
    <i>
      <x v="2"/>
    </i>
    <i>
      <x v="7"/>
    </i>
    <i>
      <x v="8"/>
    </i>
    <i>
      <x/>
    </i>
    <i>
      <x v="4"/>
    </i>
    <i>
      <x v="5"/>
    </i>
    <i>
      <x v="1"/>
    </i>
    <i>
      <x v="3"/>
    </i>
  </rowItems>
  <colItems count="1">
    <i/>
  </colItems>
  <pageFields count="2">
    <pageField fld="1" hier="-1"/>
    <pageField fld="2" hier="-1"/>
  </pageFields>
  <dataFields count="1">
    <dataField name="Count of skill"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26C8B9-0E2E-4B40-B8A1-6F8A6B995F95}" name="PivotTable2"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fieldListSortAscending="1">
  <location ref="A4:B12" firstHeaderRow="1" firstDataRow="1" firstDataCol="1" rowPageCount="1" colPageCount="1"/>
  <pivotFields count="4">
    <pivotField axis="axisRow" showAll="0">
      <items count="12">
        <item x="0"/>
        <item x="1"/>
        <item x="2"/>
        <item x="3"/>
        <item x="4"/>
        <item x="5"/>
        <item x="6"/>
        <item x="7"/>
        <item x="8"/>
        <item x="9"/>
        <item h="1" x="10"/>
        <item t="default"/>
      </items>
    </pivotField>
    <pivotField axis="axisPage" dataField="1" multipleItemSelectionAllowed="1" showAll="0">
      <items count="11">
        <item h="1" x="4"/>
        <item h="1" x="6"/>
        <item h="1" x="2"/>
        <item h="1" x="3"/>
        <item x="8"/>
        <item h="1" x="7"/>
        <item h="1" x="5"/>
        <item h="1" x="0"/>
        <item h="1" x="1"/>
        <item h="1" x="9"/>
        <item t="default"/>
      </items>
    </pivotField>
    <pivotField showAll="0">
      <items count="5">
        <item x="2"/>
        <item x="0"/>
        <item x="1"/>
        <item x="3"/>
        <item t="default"/>
      </items>
    </pivotField>
    <pivotField axis="axisRow" showAll="0">
      <items count="5">
        <item n="Team A" x="1"/>
        <item n="Team B" x="2"/>
        <item n="Team C" x="3"/>
        <item h="1" x="0"/>
        <item t="default"/>
      </items>
    </pivotField>
  </pivotFields>
  <rowFields count="2">
    <field x="3"/>
    <field x="0"/>
  </rowFields>
  <rowItems count="8">
    <i>
      <x/>
    </i>
    <i r="1">
      <x v="2"/>
    </i>
    <i r="1">
      <x v="5"/>
    </i>
    <i>
      <x v="1"/>
    </i>
    <i r="1">
      <x v="7"/>
    </i>
    <i r="1">
      <x v="8"/>
    </i>
    <i>
      <x v="2"/>
    </i>
    <i r="1">
      <x v="4"/>
    </i>
  </rowItems>
  <colItems count="1">
    <i/>
  </colItems>
  <pageFields count="1">
    <pageField fld="1" hier="-1"/>
  </pageFields>
  <dataFields count="1">
    <dataField name="Count of skill"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16FE047-48AD-49E3-BC47-C4F90FC1FBCA}" autoFormatId="16" applyNumberFormats="0" applyBorderFormats="0" applyFontFormats="0" applyPatternFormats="0" applyAlignmentFormats="0" applyWidthHeightFormats="0">
  <queryTableRefresh nextId="4">
    <queryTableFields count="3">
      <queryTableField id="1" name="respondent_id" tableColumnId="1"/>
      <queryTableField id="2" name="skill" tableColumnId="2"/>
      <queryTableField id="3" name="proficiency"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ill" xr10:uid="{53994C03-512C-43B2-814B-80B23BA3B040}" sourceName="skill">
  <pivotTables>
    <pivotTable tabId="28" name="PivotTable2"/>
  </pivotTables>
  <data>
    <tabular pivotCacheId="777941533">
      <items count="10">
        <i x="4"/>
        <i x="6"/>
        <i x="2"/>
        <i x="3"/>
        <i x="8" s="1"/>
        <i x="7"/>
        <i x="5"/>
        <i x="0"/>
        <i x="1"/>
        <i x="9"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kill" xr10:uid="{A0B2AC23-718E-4557-A34B-8F5F41D291E9}" cache="Slicer_skill" caption="skill" startItem="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69A201-4C14-40DA-B8FC-EAA2B84D1584}" name="clean_dataset" displayName="clean_dataset" ref="A1:C111" tableType="queryTable" totalsRowShown="0">
  <autoFilter ref="A1:C111" xr:uid="{7669A201-4C14-40DA-B8FC-EAA2B84D1584}"/>
  <tableColumns count="3">
    <tableColumn id="1" xr3:uid="{EF1D1216-B1D9-46D3-9210-2C85DE9AB231}" uniqueName="1" name="respondent_id" queryTableFieldId="1"/>
    <tableColumn id="2" xr3:uid="{2F91FD35-A76D-4991-9067-492B2672B2F1}" uniqueName="2" name="skill" queryTableFieldId="2"/>
    <tableColumn id="3" xr3:uid="{E452B7F8-8560-4CFA-AB7F-6C39889D7698}" uniqueName="3" name="proficiency"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21460-36C8-4F34-81F4-7272CAE3361D}">
  <dimension ref="A1:C111"/>
  <sheetViews>
    <sheetView workbookViewId="0">
      <selection activeCell="F3" sqref="F3"/>
    </sheetView>
  </sheetViews>
  <sheetFormatPr defaultRowHeight="15" x14ac:dyDescent="0.25"/>
  <cols>
    <col min="1" max="1" width="16.42578125" bestFit="1" customWidth="1"/>
    <col min="2" max="2" width="19.7109375" bestFit="1" customWidth="1"/>
    <col min="3" max="3" width="13.140625" bestFit="1" customWidth="1"/>
    <col min="4" max="4" width="24" bestFit="1" customWidth="1"/>
    <col min="5" max="5" width="14.140625" bestFit="1" customWidth="1"/>
  </cols>
  <sheetData>
    <row r="1" spans="1:3" x14ac:dyDescent="0.25">
      <c r="A1" t="s">
        <v>24</v>
      </c>
      <c r="B1" t="s">
        <v>0</v>
      </c>
      <c r="C1" t="s">
        <v>1</v>
      </c>
    </row>
    <row r="2" spans="1:3" x14ac:dyDescent="0.25">
      <c r="A2" t="s">
        <v>25</v>
      </c>
      <c r="B2" t="s">
        <v>12</v>
      </c>
      <c r="C2" t="s">
        <v>23</v>
      </c>
    </row>
    <row r="3" spans="1:3" x14ac:dyDescent="0.25">
      <c r="A3" t="s">
        <v>25</v>
      </c>
      <c r="B3" t="s">
        <v>11</v>
      </c>
      <c r="C3" t="s">
        <v>23</v>
      </c>
    </row>
    <row r="4" spans="1:3" x14ac:dyDescent="0.25">
      <c r="A4" t="s">
        <v>25</v>
      </c>
      <c r="B4" t="s">
        <v>9</v>
      </c>
      <c r="C4" t="s">
        <v>21</v>
      </c>
    </row>
    <row r="5" spans="1:3" x14ac:dyDescent="0.25">
      <c r="A5" t="s">
        <v>25</v>
      </c>
      <c r="B5" t="s">
        <v>2</v>
      </c>
      <c r="C5" t="s">
        <v>21</v>
      </c>
    </row>
    <row r="6" spans="1:3" x14ac:dyDescent="0.25">
      <c r="A6" t="s">
        <v>25</v>
      </c>
      <c r="B6" t="s">
        <v>4</v>
      </c>
      <c r="C6" t="s">
        <v>5</v>
      </c>
    </row>
    <row r="7" spans="1:3" x14ac:dyDescent="0.25">
      <c r="A7" t="s">
        <v>25</v>
      </c>
      <c r="B7" t="s">
        <v>6</v>
      </c>
      <c r="C7" t="s">
        <v>5</v>
      </c>
    </row>
    <row r="8" spans="1:3" x14ac:dyDescent="0.25">
      <c r="A8" t="s">
        <v>25</v>
      </c>
      <c r="B8" t="s">
        <v>16</v>
      </c>
      <c r="C8" t="s">
        <v>19</v>
      </c>
    </row>
    <row r="9" spans="1:3" x14ac:dyDescent="0.25">
      <c r="A9" t="s">
        <v>25</v>
      </c>
      <c r="B9" t="s">
        <v>22</v>
      </c>
      <c r="C9" t="s">
        <v>19</v>
      </c>
    </row>
    <row r="10" spans="1:3" x14ac:dyDescent="0.25">
      <c r="A10" t="s">
        <v>25</v>
      </c>
      <c r="B10" t="s">
        <v>7</v>
      </c>
      <c r="C10" t="s">
        <v>19</v>
      </c>
    </row>
    <row r="11" spans="1:3" x14ac:dyDescent="0.25">
      <c r="A11" t="s">
        <v>25</v>
      </c>
      <c r="B11" t="s">
        <v>3</v>
      </c>
      <c r="C11" t="s">
        <v>19</v>
      </c>
    </row>
    <row r="12" spans="1:3" x14ac:dyDescent="0.25">
      <c r="A12" t="s">
        <v>25</v>
      </c>
      <c r="B12" t="s">
        <v>20</v>
      </c>
      <c r="C12" t="s">
        <v>5</v>
      </c>
    </row>
    <row r="13" spans="1:3" x14ac:dyDescent="0.25">
      <c r="A13" t="s">
        <v>26</v>
      </c>
      <c r="B13" t="s">
        <v>12</v>
      </c>
      <c r="C13" t="s">
        <v>23</v>
      </c>
    </row>
    <row r="14" spans="1:3" x14ac:dyDescent="0.25">
      <c r="A14" t="s">
        <v>26</v>
      </c>
      <c r="B14" t="s">
        <v>11</v>
      </c>
      <c r="C14" t="s">
        <v>3</v>
      </c>
    </row>
    <row r="15" spans="1:3" x14ac:dyDescent="0.25">
      <c r="A15" t="s">
        <v>26</v>
      </c>
      <c r="B15" t="s">
        <v>9</v>
      </c>
      <c r="C15" t="s">
        <v>3</v>
      </c>
    </row>
    <row r="16" spans="1:3" x14ac:dyDescent="0.25">
      <c r="A16" t="s">
        <v>26</v>
      </c>
      <c r="B16" t="s">
        <v>2</v>
      </c>
      <c r="C16" t="s">
        <v>3</v>
      </c>
    </row>
    <row r="17" spans="1:3" x14ac:dyDescent="0.25">
      <c r="A17" t="s">
        <v>26</v>
      </c>
      <c r="B17" t="s">
        <v>4</v>
      </c>
      <c r="C17" t="s">
        <v>19</v>
      </c>
    </row>
    <row r="18" spans="1:3" x14ac:dyDescent="0.25">
      <c r="A18" t="s">
        <v>26</v>
      </c>
      <c r="B18" t="s">
        <v>6</v>
      </c>
      <c r="C18" t="s">
        <v>19</v>
      </c>
    </row>
    <row r="19" spans="1:3" x14ac:dyDescent="0.25">
      <c r="A19" t="s">
        <v>26</v>
      </c>
      <c r="B19" t="s">
        <v>16</v>
      </c>
      <c r="C19" t="s">
        <v>19</v>
      </c>
    </row>
    <row r="20" spans="1:3" x14ac:dyDescent="0.25">
      <c r="A20" t="s">
        <v>26</v>
      </c>
      <c r="B20" t="s">
        <v>22</v>
      </c>
      <c r="C20" t="s">
        <v>5</v>
      </c>
    </row>
    <row r="21" spans="1:3" x14ac:dyDescent="0.25">
      <c r="A21" t="s">
        <v>26</v>
      </c>
      <c r="B21" t="s">
        <v>7</v>
      </c>
      <c r="C21" t="s">
        <v>19</v>
      </c>
    </row>
    <row r="22" spans="1:3" x14ac:dyDescent="0.25">
      <c r="A22" t="s">
        <v>26</v>
      </c>
      <c r="B22" t="s">
        <v>3</v>
      </c>
      <c r="C22" t="s">
        <v>19</v>
      </c>
    </row>
    <row r="23" spans="1:3" x14ac:dyDescent="0.25">
      <c r="A23" t="s">
        <v>26</v>
      </c>
      <c r="B23" t="s">
        <v>20</v>
      </c>
      <c r="C23" t="s">
        <v>19</v>
      </c>
    </row>
    <row r="24" spans="1:3" x14ac:dyDescent="0.25">
      <c r="A24" t="s">
        <v>27</v>
      </c>
      <c r="B24" t="s">
        <v>12</v>
      </c>
      <c r="C24" t="s">
        <v>21</v>
      </c>
    </row>
    <row r="25" spans="1:3" x14ac:dyDescent="0.25">
      <c r="A25" t="s">
        <v>27</v>
      </c>
      <c r="B25" t="s">
        <v>11</v>
      </c>
      <c r="C25" t="s">
        <v>21</v>
      </c>
    </row>
    <row r="26" spans="1:3" x14ac:dyDescent="0.25">
      <c r="A26" t="s">
        <v>27</v>
      </c>
      <c r="B26" t="s">
        <v>9</v>
      </c>
      <c r="C26" t="s">
        <v>3</v>
      </c>
    </row>
    <row r="27" spans="1:3" x14ac:dyDescent="0.25">
      <c r="A27" t="s">
        <v>27</v>
      </c>
      <c r="B27" t="s">
        <v>2</v>
      </c>
      <c r="C27" t="s">
        <v>21</v>
      </c>
    </row>
    <row r="28" spans="1:3" x14ac:dyDescent="0.25">
      <c r="A28" t="s">
        <v>27</v>
      </c>
      <c r="B28" t="s">
        <v>4</v>
      </c>
      <c r="C28" t="s">
        <v>19</v>
      </c>
    </row>
    <row r="29" spans="1:3" x14ac:dyDescent="0.25">
      <c r="A29" t="s">
        <v>27</v>
      </c>
      <c r="B29" t="s">
        <v>6</v>
      </c>
      <c r="C29" t="s">
        <v>19</v>
      </c>
    </row>
    <row r="30" spans="1:3" x14ac:dyDescent="0.25">
      <c r="A30" t="s">
        <v>27</v>
      </c>
      <c r="B30" t="s">
        <v>16</v>
      </c>
      <c r="C30" t="s">
        <v>19</v>
      </c>
    </row>
    <row r="31" spans="1:3" x14ac:dyDescent="0.25">
      <c r="A31" t="s">
        <v>27</v>
      </c>
      <c r="B31" t="s">
        <v>22</v>
      </c>
      <c r="C31" t="s">
        <v>19</v>
      </c>
    </row>
    <row r="32" spans="1:3" x14ac:dyDescent="0.25">
      <c r="A32" t="s">
        <v>27</v>
      </c>
      <c r="B32" t="s">
        <v>7</v>
      </c>
      <c r="C32" t="s">
        <v>5</v>
      </c>
    </row>
    <row r="33" spans="1:3" x14ac:dyDescent="0.25">
      <c r="A33" t="s">
        <v>27</v>
      </c>
      <c r="B33" t="s">
        <v>3</v>
      </c>
      <c r="C33" t="s">
        <v>5</v>
      </c>
    </row>
    <row r="34" spans="1:3" x14ac:dyDescent="0.25">
      <c r="A34" t="s">
        <v>27</v>
      </c>
      <c r="B34" t="s">
        <v>20</v>
      </c>
      <c r="C34" t="s">
        <v>19</v>
      </c>
    </row>
    <row r="35" spans="1:3" x14ac:dyDescent="0.25">
      <c r="A35" t="s">
        <v>28</v>
      </c>
      <c r="B35" t="s">
        <v>12</v>
      </c>
      <c r="C35" t="s">
        <v>23</v>
      </c>
    </row>
    <row r="36" spans="1:3" x14ac:dyDescent="0.25">
      <c r="A36" t="s">
        <v>28</v>
      </c>
      <c r="B36" t="s">
        <v>11</v>
      </c>
      <c r="C36" t="s">
        <v>23</v>
      </c>
    </row>
    <row r="37" spans="1:3" x14ac:dyDescent="0.25">
      <c r="A37" t="s">
        <v>28</v>
      </c>
      <c r="B37" t="s">
        <v>9</v>
      </c>
      <c r="C37" t="s">
        <v>23</v>
      </c>
    </row>
    <row r="38" spans="1:3" x14ac:dyDescent="0.25">
      <c r="A38" t="s">
        <v>28</v>
      </c>
      <c r="B38" t="s">
        <v>2</v>
      </c>
      <c r="C38" t="s">
        <v>3</v>
      </c>
    </row>
    <row r="39" spans="1:3" x14ac:dyDescent="0.25">
      <c r="A39" t="s">
        <v>28</v>
      </c>
      <c r="B39" t="s">
        <v>4</v>
      </c>
      <c r="C39" t="s">
        <v>19</v>
      </c>
    </row>
    <row r="40" spans="1:3" x14ac:dyDescent="0.25">
      <c r="A40" t="s">
        <v>28</v>
      </c>
      <c r="B40" t="s">
        <v>6</v>
      </c>
      <c r="C40" t="s">
        <v>19</v>
      </c>
    </row>
    <row r="41" spans="1:3" x14ac:dyDescent="0.25">
      <c r="A41" t="s">
        <v>28</v>
      </c>
      <c r="B41" t="s">
        <v>16</v>
      </c>
      <c r="C41" t="s">
        <v>19</v>
      </c>
    </row>
    <row r="42" spans="1:3" x14ac:dyDescent="0.25">
      <c r="A42" t="s">
        <v>28</v>
      </c>
      <c r="B42" t="s">
        <v>22</v>
      </c>
      <c r="C42" t="s">
        <v>5</v>
      </c>
    </row>
    <row r="43" spans="1:3" x14ac:dyDescent="0.25">
      <c r="A43" t="s">
        <v>28</v>
      </c>
      <c r="B43" t="s">
        <v>7</v>
      </c>
      <c r="C43" t="s">
        <v>19</v>
      </c>
    </row>
    <row r="44" spans="1:3" x14ac:dyDescent="0.25">
      <c r="A44" t="s">
        <v>28</v>
      </c>
      <c r="B44" t="s">
        <v>3</v>
      </c>
      <c r="C44" t="s">
        <v>19</v>
      </c>
    </row>
    <row r="45" spans="1:3" x14ac:dyDescent="0.25">
      <c r="A45" t="s">
        <v>28</v>
      </c>
      <c r="B45" t="s">
        <v>20</v>
      </c>
      <c r="C45" t="s">
        <v>5</v>
      </c>
    </row>
    <row r="46" spans="1:3" x14ac:dyDescent="0.25">
      <c r="A46" t="s">
        <v>29</v>
      </c>
      <c r="B46" t="s">
        <v>12</v>
      </c>
      <c r="C46" t="s">
        <v>3</v>
      </c>
    </row>
    <row r="47" spans="1:3" x14ac:dyDescent="0.25">
      <c r="A47" t="s">
        <v>29</v>
      </c>
      <c r="B47" t="s">
        <v>11</v>
      </c>
      <c r="C47" t="s">
        <v>3</v>
      </c>
    </row>
    <row r="48" spans="1:3" x14ac:dyDescent="0.25">
      <c r="A48" t="s">
        <v>29</v>
      </c>
      <c r="B48" t="s">
        <v>9</v>
      </c>
      <c r="C48" t="s">
        <v>3</v>
      </c>
    </row>
    <row r="49" spans="1:3" x14ac:dyDescent="0.25">
      <c r="A49" t="s">
        <v>29</v>
      </c>
      <c r="B49" t="s">
        <v>2</v>
      </c>
      <c r="C49" t="s">
        <v>3</v>
      </c>
    </row>
    <row r="50" spans="1:3" x14ac:dyDescent="0.25">
      <c r="A50" t="s">
        <v>29</v>
      </c>
      <c r="B50" t="s">
        <v>4</v>
      </c>
      <c r="C50" t="s">
        <v>19</v>
      </c>
    </row>
    <row r="51" spans="1:3" x14ac:dyDescent="0.25">
      <c r="A51" t="s">
        <v>29</v>
      </c>
      <c r="B51" t="s">
        <v>6</v>
      </c>
      <c r="C51" t="s">
        <v>19</v>
      </c>
    </row>
    <row r="52" spans="1:3" x14ac:dyDescent="0.25">
      <c r="A52" t="s">
        <v>29</v>
      </c>
      <c r="B52" t="s">
        <v>16</v>
      </c>
      <c r="C52" t="s">
        <v>19</v>
      </c>
    </row>
    <row r="53" spans="1:3" x14ac:dyDescent="0.25">
      <c r="A53" t="s">
        <v>29</v>
      </c>
      <c r="B53" t="s">
        <v>22</v>
      </c>
      <c r="C53" t="s">
        <v>19</v>
      </c>
    </row>
    <row r="54" spans="1:3" x14ac:dyDescent="0.25">
      <c r="A54" t="s">
        <v>29</v>
      </c>
      <c r="B54" t="s">
        <v>7</v>
      </c>
      <c r="C54" t="s">
        <v>5</v>
      </c>
    </row>
    <row r="55" spans="1:3" x14ac:dyDescent="0.25">
      <c r="A55" t="s">
        <v>29</v>
      </c>
      <c r="B55" t="s">
        <v>3</v>
      </c>
      <c r="C55" t="s">
        <v>19</v>
      </c>
    </row>
    <row r="56" spans="1:3" x14ac:dyDescent="0.25">
      <c r="A56" t="s">
        <v>29</v>
      </c>
      <c r="B56" t="s">
        <v>20</v>
      </c>
      <c r="C56" t="s">
        <v>19</v>
      </c>
    </row>
    <row r="57" spans="1:3" x14ac:dyDescent="0.25">
      <c r="A57" t="s">
        <v>30</v>
      </c>
      <c r="B57" t="s">
        <v>12</v>
      </c>
      <c r="C57" t="s">
        <v>23</v>
      </c>
    </row>
    <row r="58" spans="1:3" x14ac:dyDescent="0.25">
      <c r="A58" t="s">
        <v>30</v>
      </c>
      <c r="B58" t="s">
        <v>11</v>
      </c>
      <c r="C58" t="s">
        <v>3</v>
      </c>
    </row>
    <row r="59" spans="1:3" x14ac:dyDescent="0.25">
      <c r="A59" t="s">
        <v>30</v>
      </c>
      <c r="B59" t="s">
        <v>9</v>
      </c>
      <c r="C59" t="s">
        <v>21</v>
      </c>
    </row>
    <row r="60" spans="1:3" x14ac:dyDescent="0.25">
      <c r="A60" t="s">
        <v>30</v>
      </c>
      <c r="B60" t="s">
        <v>2</v>
      </c>
      <c r="C60" t="s">
        <v>3</v>
      </c>
    </row>
    <row r="61" spans="1:3" x14ac:dyDescent="0.25">
      <c r="A61" t="s">
        <v>30</v>
      </c>
      <c r="B61" t="s">
        <v>4</v>
      </c>
      <c r="C61" t="s">
        <v>19</v>
      </c>
    </row>
    <row r="62" spans="1:3" x14ac:dyDescent="0.25">
      <c r="A62" t="s">
        <v>30</v>
      </c>
      <c r="B62" t="s">
        <v>6</v>
      </c>
      <c r="C62" t="s">
        <v>19</v>
      </c>
    </row>
    <row r="63" spans="1:3" x14ac:dyDescent="0.25">
      <c r="A63" t="s">
        <v>30</v>
      </c>
      <c r="B63" t="s">
        <v>16</v>
      </c>
      <c r="C63" t="s">
        <v>19</v>
      </c>
    </row>
    <row r="64" spans="1:3" x14ac:dyDescent="0.25">
      <c r="A64" t="s">
        <v>30</v>
      </c>
      <c r="B64" t="s">
        <v>22</v>
      </c>
      <c r="C64" t="s">
        <v>5</v>
      </c>
    </row>
    <row r="65" spans="1:3" x14ac:dyDescent="0.25">
      <c r="A65" t="s">
        <v>30</v>
      </c>
      <c r="B65" t="s">
        <v>7</v>
      </c>
      <c r="C65" t="s">
        <v>5</v>
      </c>
    </row>
    <row r="66" spans="1:3" x14ac:dyDescent="0.25">
      <c r="A66" t="s">
        <v>30</v>
      </c>
      <c r="B66" t="s">
        <v>3</v>
      </c>
      <c r="C66" t="s">
        <v>19</v>
      </c>
    </row>
    <row r="67" spans="1:3" x14ac:dyDescent="0.25">
      <c r="A67" t="s">
        <v>30</v>
      </c>
      <c r="B67" t="s">
        <v>20</v>
      </c>
      <c r="C67" t="s">
        <v>19</v>
      </c>
    </row>
    <row r="68" spans="1:3" x14ac:dyDescent="0.25">
      <c r="A68" t="s">
        <v>31</v>
      </c>
      <c r="B68" t="s">
        <v>12</v>
      </c>
      <c r="C68" t="s">
        <v>21</v>
      </c>
    </row>
    <row r="69" spans="1:3" x14ac:dyDescent="0.25">
      <c r="A69" t="s">
        <v>31</v>
      </c>
      <c r="B69" t="s">
        <v>11</v>
      </c>
      <c r="C69" t="s">
        <v>21</v>
      </c>
    </row>
    <row r="70" spans="1:3" x14ac:dyDescent="0.25">
      <c r="A70" t="s">
        <v>31</v>
      </c>
      <c r="B70" t="s">
        <v>9</v>
      </c>
      <c r="C70" t="s">
        <v>3</v>
      </c>
    </row>
    <row r="71" spans="1:3" x14ac:dyDescent="0.25">
      <c r="A71" t="s">
        <v>31</v>
      </c>
      <c r="B71" t="s">
        <v>2</v>
      </c>
      <c r="C71" t="s">
        <v>21</v>
      </c>
    </row>
    <row r="72" spans="1:3" x14ac:dyDescent="0.25">
      <c r="A72" t="s">
        <v>31</v>
      </c>
      <c r="B72" t="s">
        <v>4</v>
      </c>
      <c r="C72" t="s">
        <v>19</v>
      </c>
    </row>
    <row r="73" spans="1:3" x14ac:dyDescent="0.25">
      <c r="A73" t="s">
        <v>31</v>
      </c>
      <c r="B73" t="s">
        <v>6</v>
      </c>
      <c r="C73" t="s">
        <v>19</v>
      </c>
    </row>
    <row r="74" spans="1:3" x14ac:dyDescent="0.25">
      <c r="A74" t="s">
        <v>31</v>
      </c>
      <c r="B74" t="s">
        <v>16</v>
      </c>
      <c r="C74" t="s">
        <v>19</v>
      </c>
    </row>
    <row r="75" spans="1:3" x14ac:dyDescent="0.25">
      <c r="A75" t="s">
        <v>31</v>
      </c>
      <c r="B75" t="s">
        <v>22</v>
      </c>
      <c r="C75" t="s">
        <v>19</v>
      </c>
    </row>
    <row r="76" spans="1:3" x14ac:dyDescent="0.25">
      <c r="A76" t="s">
        <v>31</v>
      </c>
      <c r="B76" t="s">
        <v>7</v>
      </c>
      <c r="C76" t="s">
        <v>19</v>
      </c>
    </row>
    <row r="77" spans="1:3" x14ac:dyDescent="0.25">
      <c r="A77" t="s">
        <v>31</v>
      </c>
      <c r="B77" t="s">
        <v>3</v>
      </c>
      <c r="C77" t="s">
        <v>5</v>
      </c>
    </row>
    <row r="78" spans="1:3" x14ac:dyDescent="0.25">
      <c r="A78" t="s">
        <v>31</v>
      </c>
      <c r="B78" t="s">
        <v>20</v>
      </c>
      <c r="C78" t="s">
        <v>5</v>
      </c>
    </row>
    <row r="79" spans="1:3" x14ac:dyDescent="0.25">
      <c r="A79" t="s">
        <v>32</v>
      </c>
      <c r="B79" t="s">
        <v>12</v>
      </c>
      <c r="C79" t="s">
        <v>3</v>
      </c>
    </row>
    <row r="80" spans="1:3" x14ac:dyDescent="0.25">
      <c r="A80" t="s">
        <v>32</v>
      </c>
      <c r="B80" t="s">
        <v>11</v>
      </c>
      <c r="C80" t="s">
        <v>21</v>
      </c>
    </row>
    <row r="81" spans="1:3" x14ac:dyDescent="0.25">
      <c r="A81" t="s">
        <v>32</v>
      </c>
      <c r="B81" t="s">
        <v>9</v>
      </c>
      <c r="C81" t="s">
        <v>21</v>
      </c>
    </row>
    <row r="82" spans="1:3" x14ac:dyDescent="0.25">
      <c r="A82" t="s">
        <v>32</v>
      </c>
      <c r="B82" t="s">
        <v>2</v>
      </c>
      <c r="C82" t="s">
        <v>21</v>
      </c>
    </row>
    <row r="83" spans="1:3" x14ac:dyDescent="0.25">
      <c r="A83" t="s">
        <v>32</v>
      </c>
      <c r="B83" t="s">
        <v>4</v>
      </c>
      <c r="C83" t="s">
        <v>19</v>
      </c>
    </row>
    <row r="84" spans="1:3" x14ac:dyDescent="0.25">
      <c r="A84" t="s">
        <v>32</v>
      </c>
      <c r="B84" t="s">
        <v>6</v>
      </c>
      <c r="C84" t="s">
        <v>19</v>
      </c>
    </row>
    <row r="85" spans="1:3" x14ac:dyDescent="0.25">
      <c r="A85" t="s">
        <v>32</v>
      </c>
      <c r="B85" t="s">
        <v>16</v>
      </c>
      <c r="C85" t="s">
        <v>19</v>
      </c>
    </row>
    <row r="86" spans="1:3" x14ac:dyDescent="0.25">
      <c r="A86" t="s">
        <v>32</v>
      </c>
      <c r="B86" t="s">
        <v>22</v>
      </c>
      <c r="C86" t="s">
        <v>19</v>
      </c>
    </row>
    <row r="87" spans="1:3" x14ac:dyDescent="0.25">
      <c r="A87" t="s">
        <v>32</v>
      </c>
      <c r="B87" t="s">
        <v>7</v>
      </c>
      <c r="C87" t="s">
        <v>5</v>
      </c>
    </row>
    <row r="88" spans="1:3" x14ac:dyDescent="0.25">
      <c r="A88" t="s">
        <v>32</v>
      </c>
      <c r="B88" t="s">
        <v>3</v>
      </c>
      <c r="C88" t="s">
        <v>5</v>
      </c>
    </row>
    <row r="89" spans="1:3" x14ac:dyDescent="0.25">
      <c r="A89" t="s">
        <v>32</v>
      </c>
      <c r="B89" t="s">
        <v>20</v>
      </c>
      <c r="C89" t="s">
        <v>19</v>
      </c>
    </row>
    <row r="90" spans="1:3" x14ac:dyDescent="0.25">
      <c r="A90" t="s">
        <v>33</v>
      </c>
      <c r="B90" t="s">
        <v>12</v>
      </c>
      <c r="C90" t="s">
        <v>23</v>
      </c>
    </row>
    <row r="91" spans="1:3" x14ac:dyDescent="0.25">
      <c r="A91" t="s">
        <v>33</v>
      </c>
      <c r="B91" t="s">
        <v>11</v>
      </c>
      <c r="C91" t="s">
        <v>21</v>
      </c>
    </row>
    <row r="92" spans="1:3" x14ac:dyDescent="0.25">
      <c r="A92" t="s">
        <v>33</v>
      </c>
      <c r="B92" t="s">
        <v>9</v>
      </c>
      <c r="C92" t="s">
        <v>21</v>
      </c>
    </row>
    <row r="93" spans="1:3" x14ac:dyDescent="0.25">
      <c r="A93" t="s">
        <v>33</v>
      </c>
      <c r="B93" t="s">
        <v>2</v>
      </c>
      <c r="C93" t="s">
        <v>21</v>
      </c>
    </row>
    <row r="94" spans="1:3" x14ac:dyDescent="0.25">
      <c r="A94" t="s">
        <v>33</v>
      </c>
      <c r="B94" t="s">
        <v>4</v>
      </c>
      <c r="C94" t="s">
        <v>19</v>
      </c>
    </row>
    <row r="95" spans="1:3" x14ac:dyDescent="0.25">
      <c r="A95" t="s">
        <v>33</v>
      </c>
      <c r="B95" t="s">
        <v>6</v>
      </c>
      <c r="C95" t="s">
        <v>19</v>
      </c>
    </row>
    <row r="96" spans="1:3" x14ac:dyDescent="0.25">
      <c r="A96" t="s">
        <v>33</v>
      </c>
      <c r="B96" t="s">
        <v>16</v>
      </c>
      <c r="C96" t="s">
        <v>19</v>
      </c>
    </row>
    <row r="97" spans="1:3" x14ac:dyDescent="0.25">
      <c r="A97" t="s">
        <v>33</v>
      </c>
      <c r="B97" t="s">
        <v>22</v>
      </c>
      <c r="C97" t="s">
        <v>5</v>
      </c>
    </row>
    <row r="98" spans="1:3" x14ac:dyDescent="0.25">
      <c r="A98" t="s">
        <v>33</v>
      </c>
      <c r="B98" t="s">
        <v>7</v>
      </c>
      <c r="C98" t="s">
        <v>5</v>
      </c>
    </row>
    <row r="99" spans="1:3" x14ac:dyDescent="0.25">
      <c r="A99" t="s">
        <v>33</v>
      </c>
      <c r="B99" t="s">
        <v>3</v>
      </c>
      <c r="C99" t="s">
        <v>5</v>
      </c>
    </row>
    <row r="100" spans="1:3" x14ac:dyDescent="0.25">
      <c r="A100" t="s">
        <v>33</v>
      </c>
      <c r="B100" t="s">
        <v>20</v>
      </c>
      <c r="C100" t="s">
        <v>19</v>
      </c>
    </row>
    <row r="101" spans="1:3" x14ac:dyDescent="0.25">
      <c r="A101" t="s">
        <v>34</v>
      </c>
      <c r="B101" t="s">
        <v>12</v>
      </c>
      <c r="C101" t="s">
        <v>3</v>
      </c>
    </row>
    <row r="102" spans="1:3" x14ac:dyDescent="0.25">
      <c r="A102" t="s">
        <v>34</v>
      </c>
      <c r="B102" t="s">
        <v>11</v>
      </c>
      <c r="C102" t="s">
        <v>21</v>
      </c>
    </row>
    <row r="103" spans="1:3" x14ac:dyDescent="0.25">
      <c r="A103" t="s">
        <v>34</v>
      </c>
      <c r="B103" t="s">
        <v>9</v>
      </c>
      <c r="C103" t="s">
        <v>21</v>
      </c>
    </row>
    <row r="104" spans="1:3" x14ac:dyDescent="0.25">
      <c r="A104" t="s">
        <v>34</v>
      </c>
      <c r="B104" t="s">
        <v>2</v>
      </c>
      <c r="C104" t="s">
        <v>21</v>
      </c>
    </row>
    <row r="105" spans="1:3" x14ac:dyDescent="0.25">
      <c r="A105" t="s">
        <v>34</v>
      </c>
      <c r="B105" t="s">
        <v>4</v>
      </c>
      <c r="C105" t="s">
        <v>19</v>
      </c>
    </row>
    <row r="106" spans="1:3" x14ac:dyDescent="0.25">
      <c r="A106" t="s">
        <v>34</v>
      </c>
      <c r="B106" t="s">
        <v>6</v>
      </c>
      <c r="C106" t="s">
        <v>19</v>
      </c>
    </row>
    <row r="107" spans="1:3" x14ac:dyDescent="0.25">
      <c r="A107" t="s">
        <v>34</v>
      </c>
      <c r="B107" t="s">
        <v>16</v>
      </c>
      <c r="C107" t="s">
        <v>19</v>
      </c>
    </row>
    <row r="108" spans="1:3" x14ac:dyDescent="0.25">
      <c r="A108" t="s">
        <v>34</v>
      </c>
      <c r="B108" t="s">
        <v>22</v>
      </c>
      <c r="C108" t="s">
        <v>19</v>
      </c>
    </row>
    <row r="109" spans="1:3" x14ac:dyDescent="0.25">
      <c r="A109" t="s">
        <v>34</v>
      </c>
      <c r="B109" t="s">
        <v>7</v>
      </c>
      <c r="C109" t="s">
        <v>19</v>
      </c>
    </row>
    <row r="110" spans="1:3" x14ac:dyDescent="0.25">
      <c r="A110" t="s">
        <v>34</v>
      </c>
      <c r="B110" t="s">
        <v>3</v>
      </c>
      <c r="C110" t="s">
        <v>5</v>
      </c>
    </row>
    <row r="111" spans="1:3" x14ac:dyDescent="0.25">
      <c r="A111" t="s">
        <v>34</v>
      </c>
      <c r="B111" t="s">
        <v>20</v>
      </c>
      <c r="C111"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7E5AC-B6BB-4A40-84CB-CAA5A810EE1F}">
  <dimension ref="A1:B9"/>
  <sheetViews>
    <sheetView zoomScale="110" zoomScaleNormal="110" workbookViewId="0">
      <selection activeCell="C20" sqref="C20"/>
    </sheetView>
  </sheetViews>
  <sheetFormatPr defaultRowHeight="15" x14ac:dyDescent="0.25"/>
  <cols>
    <col min="1" max="1" width="20.140625" bestFit="1" customWidth="1"/>
    <col min="2" max="2" width="10.42578125" bestFit="1" customWidth="1"/>
    <col min="3" max="3" width="14.7109375" bestFit="1" customWidth="1"/>
    <col min="4" max="4" width="18.5703125" bestFit="1" customWidth="1"/>
  </cols>
  <sheetData>
    <row r="1" spans="1:2" x14ac:dyDescent="0.25">
      <c r="A1" s="1" t="s">
        <v>0</v>
      </c>
      <c r="B1" t="s">
        <v>13</v>
      </c>
    </row>
    <row r="2" spans="1:2" x14ac:dyDescent="0.25">
      <c r="A2" t="s">
        <v>4</v>
      </c>
      <c r="B2">
        <v>1</v>
      </c>
    </row>
    <row r="3" spans="1:2" x14ac:dyDescent="0.25">
      <c r="A3" t="s">
        <v>6</v>
      </c>
      <c r="B3">
        <v>1</v>
      </c>
    </row>
    <row r="4" spans="1:2" x14ac:dyDescent="0.25">
      <c r="A4" t="s">
        <v>8</v>
      </c>
      <c r="B4">
        <v>4</v>
      </c>
    </row>
    <row r="5" spans="1:2" x14ac:dyDescent="0.25">
      <c r="A5" t="s">
        <v>2</v>
      </c>
      <c r="B5">
        <v>4</v>
      </c>
    </row>
    <row r="6" spans="1:2" x14ac:dyDescent="0.25">
      <c r="A6" t="s">
        <v>7</v>
      </c>
      <c r="B6">
        <v>5</v>
      </c>
    </row>
    <row r="7" spans="1:2" x14ac:dyDescent="0.25">
      <c r="A7" t="s">
        <v>11</v>
      </c>
      <c r="B7">
        <v>5</v>
      </c>
    </row>
    <row r="8" spans="1:2" x14ac:dyDescent="0.25">
      <c r="A8" t="s">
        <v>9</v>
      </c>
      <c r="B8">
        <v>5</v>
      </c>
    </row>
    <row r="9" spans="1:2" x14ac:dyDescent="0.25">
      <c r="A9" t="s">
        <v>12</v>
      </c>
      <c r="B9">
        <v>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250BF-17B4-4966-BB18-D54162B7E25F}">
  <dimension ref="A1:C5"/>
  <sheetViews>
    <sheetView workbookViewId="0">
      <selection sqref="A1:C5"/>
    </sheetView>
  </sheetViews>
  <sheetFormatPr defaultRowHeight="15" x14ac:dyDescent="0.25"/>
  <cols>
    <col min="1" max="1" width="18.5703125" bestFit="1" customWidth="1"/>
    <col min="2" max="2" width="16.28515625" bestFit="1" customWidth="1"/>
    <col min="3" max="3" width="4.140625" bestFit="1" customWidth="1"/>
    <col min="4" max="4" width="11.28515625" bestFit="1" customWidth="1"/>
    <col min="5" max="5" width="5.85546875" bestFit="1" customWidth="1"/>
    <col min="6" max="6" width="4.140625" bestFit="1" customWidth="1"/>
    <col min="7" max="7" width="11.28515625" bestFit="1" customWidth="1"/>
  </cols>
  <sheetData>
    <row r="1" spans="1:3" x14ac:dyDescent="0.25">
      <c r="A1" s="1" t="s">
        <v>17</v>
      </c>
      <c r="B1" s="1" t="s">
        <v>18</v>
      </c>
    </row>
    <row r="2" spans="1:3" x14ac:dyDescent="0.25">
      <c r="A2" s="1" t="s">
        <v>14</v>
      </c>
      <c r="B2" t="s">
        <v>19</v>
      </c>
      <c r="C2" t="s">
        <v>5</v>
      </c>
    </row>
    <row r="3" spans="1:3" x14ac:dyDescent="0.25">
      <c r="A3" s="2" t="s">
        <v>16</v>
      </c>
      <c r="B3">
        <v>10</v>
      </c>
    </row>
    <row r="4" spans="1:3" x14ac:dyDescent="0.25">
      <c r="A4" s="2" t="s">
        <v>4</v>
      </c>
      <c r="B4">
        <v>9</v>
      </c>
      <c r="C4">
        <v>1</v>
      </c>
    </row>
    <row r="5" spans="1:3" x14ac:dyDescent="0.25">
      <c r="A5" s="2" t="s">
        <v>6</v>
      </c>
      <c r="B5">
        <v>9</v>
      </c>
      <c r="C5">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FA3FF-DEC7-4A57-9326-D3DEFCE869E1}">
  <dimension ref="A1:C6"/>
  <sheetViews>
    <sheetView workbookViewId="0">
      <selection activeCell="R10" sqref="R10"/>
    </sheetView>
  </sheetViews>
  <sheetFormatPr defaultRowHeight="15" x14ac:dyDescent="0.25"/>
  <cols>
    <col min="1" max="1" width="19.140625" bestFit="1" customWidth="1"/>
    <col min="2" max="2" width="13.140625" bestFit="1" customWidth="1"/>
    <col min="3" max="3" width="11.5703125" bestFit="1" customWidth="1"/>
  </cols>
  <sheetData>
    <row r="1" spans="1:3" x14ac:dyDescent="0.25">
      <c r="A1" s="1" t="s">
        <v>15</v>
      </c>
      <c r="B1" s="1" t="s">
        <v>1</v>
      </c>
    </row>
    <row r="2" spans="1:3" x14ac:dyDescent="0.25">
      <c r="A2" s="1" t="s">
        <v>0</v>
      </c>
      <c r="B2" t="s">
        <v>3</v>
      </c>
      <c r="C2" t="s">
        <v>10</v>
      </c>
    </row>
    <row r="3" spans="1:3" x14ac:dyDescent="0.25">
      <c r="A3" t="s">
        <v>12</v>
      </c>
      <c r="B3">
        <v>3</v>
      </c>
      <c r="C3">
        <v>5</v>
      </c>
    </row>
    <row r="4" spans="1:3" x14ac:dyDescent="0.25">
      <c r="A4" t="s">
        <v>11</v>
      </c>
      <c r="B4">
        <v>3</v>
      </c>
      <c r="C4">
        <v>2</v>
      </c>
    </row>
    <row r="5" spans="1:3" x14ac:dyDescent="0.25">
      <c r="A5" t="s">
        <v>9</v>
      </c>
      <c r="B5">
        <v>4</v>
      </c>
      <c r="C5">
        <v>1</v>
      </c>
    </row>
    <row r="6" spans="1:3" x14ac:dyDescent="0.25">
      <c r="A6" t="s">
        <v>2</v>
      </c>
      <c r="B6">
        <v>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E2012-C62F-41D0-96FF-AE48B92086BB}">
  <dimension ref="A1:B17"/>
  <sheetViews>
    <sheetView tabSelected="1" workbookViewId="0">
      <selection activeCell="A18" sqref="A18"/>
    </sheetView>
  </sheetViews>
  <sheetFormatPr defaultRowHeight="15" x14ac:dyDescent="0.25"/>
  <cols>
    <col min="1" max="1" width="43.140625" bestFit="1" customWidth="1"/>
    <col min="2" max="2" width="17.85546875" bestFit="1" customWidth="1"/>
    <col min="14" max="14" width="28.5703125" bestFit="1" customWidth="1"/>
  </cols>
  <sheetData>
    <row r="1" spans="1:2" x14ac:dyDescent="0.25">
      <c r="A1" s="1" t="s">
        <v>0</v>
      </c>
      <c r="B1" t="s">
        <v>35</v>
      </c>
    </row>
    <row r="2" spans="1:2" x14ac:dyDescent="0.25">
      <c r="A2" s="1" t="s">
        <v>1</v>
      </c>
      <c r="B2" t="s">
        <v>35</v>
      </c>
    </row>
    <row r="4" spans="1:2" x14ac:dyDescent="0.25">
      <c r="A4" s="1" t="s">
        <v>14</v>
      </c>
      <c r="B4" t="s">
        <v>17</v>
      </c>
    </row>
    <row r="5" spans="1:2" x14ac:dyDescent="0.25">
      <c r="A5" s="2" t="s">
        <v>34</v>
      </c>
      <c r="B5">
        <v>1</v>
      </c>
    </row>
    <row r="6" spans="1:2" x14ac:dyDescent="0.25">
      <c r="A6" s="2" t="s">
        <v>31</v>
      </c>
      <c r="B6">
        <v>1</v>
      </c>
    </row>
    <row r="7" spans="1:2" x14ac:dyDescent="0.25">
      <c r="A7" s="2" t="s">
        <v>27</v>
      </c>
      <c r="B7">
        <v>2</v>
      </c>
    </row>
    <row r="8" spans="1:2" x14ac:dyDescent="0.25">
      <c r="A8" s="2" t="s">
        <v>32</v>
      </c>
      <c r="B8">
        <v>2</v>
      </c>
    </row>
    <row r="9" spans="1:2" x14ac:dyDescent="0.25">
      <c r="A9" s="2" t="s">
        <v>33</v>
      </c>
      <c r="B9">
        <v>3</v>
      </c>
    </row>
    <row r="10" spans="1:2" x14ac:dyDescent="0.25">
      <c r="A10" s="2" t="s">
        <v>25</v>
      </c>
      <c r="B10">
        <v>4</v>
      </c>
    </row>
    <row r="11" spans="1:2" x14ac:dyDescent="0.25">
      <c r="A11" s="2" t="s">
        <v>29</v>
      </c>
      <c r="B11">
        <v>5</v>
      </c>
    </row>
    <row r="12" spans="1:2" x14ac:dyDescent="0.25">
      <c r="A12" s="2" t="s">
        <v>30</v>
      </c>
      <c r="B12">
        <v>5</v>
      </c>
    </row>
    <row r="13" spans="1:2" x14ac:dyDescent="0.25">
      <c r="A13" s="2" t="s">
        <v>26</v>
      </c>
      <c r="B13">
        <v>5</v>
      </c>
    </row>
    <row r="14" spans="1:2" x14ac:dyDescent="0.25">
      <c r="A14" s="2" t="s">
        <v>28</v>
      </c>
      <c r="B14">
        <v>5</v>
      </c>
    </row>
    <row r="15" spans="1:2" x14ac:dyDescent="0.25">
      <c r="A15" s="3" t="s">
        <v>36</v>
      </c>
      <c r="B15">
        <f>AVERAGE(B5:B14)</f>
        <v>3.3</v>
      </c>
    </row>
    <row r="16" spans="1:2" x14ac:dyDescent="0.25">
      <c r="A16" s="3" t="s">
        <v>37</v>
      </c>
      <c r="B16">
        <f>MEDIAN(B5:B14)</f>
        <v>3.5</v>
      </c>
    </row>
    <row r="17" spans="1:1" ht="47.25" customHeight="1" x14ac:dyDescent="0.25">
      <c r="A17" s="5" t="s">
        <v>41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94491-9525-4227-97F1-DDF2AC13D4AF}">
  <dimension ref="A2:B12"/>
  <sheetViews>
    <sheetView workbookViewId="0">
      <selection activeCell="A4" sqref="A4"/>
    </sheetView>
  </sheetViews>
  <sheetFormatPr defaultRowHeight="15" x14ac:dyDescent="0.25"/>
  <cols>
    <col min="1" max="1" width="13.140625" bestFit="1" customWidth="1"/>
    <col min="2" max="2" width="14.7109375" bestFit="1" customWidth="1"/>
  </cols>
  <sheetData>
    <row r="2" spans="1:2" x14ac:dyDescent="0.25">
      <c r="A2" s="1" t="s">
        <v>0</v>
      </c>
      <c r="B2" t="s">
        <v>7</v>
      </c>
    </row>
    <row r="4" spans="1:2" x14ac:dyDescent="0.25">
      <c r="A4" s="1" t="s">
        <v>14</v>
      </c>
      <c r="B4" t="s">
        <v>17</v>
      </c>
    </row>
    <row r="5" spans="1:2" x14ac:dyDescent="0.25">
      <c r="A5" s="2" t="s">
        <v>38</v>
      </c>
      <c r="B5">
        <v>2</v>
      </c>
    </row>
    <row r="6" spans="1:2" x14ac:dyDescent="0.25">
      <c r="A6" s="4" t="s">
        <v>27</v>
      </c>
      <c r="B6">
        <v>1</v>
      </c>
    </row>
    <row r="7" spans="1:2" x14ac:dyDescent="0.25">
      <c r="A7" s="4" t="s">
        <v>30</v>
      </c>
      <c r="B7">
        <v>1</v>
      </c>
    </row>
    <row r="8" spans="1:2" x14ac:dyDescent="0.25">
      <c r="A8" s="2" t="s">
        <v>39</v>
      </c>
      <c r="B8">
        <v>2</v>
      </c>
    </row>
    <row r="9" spans="1:2" x14ac:dyDescent="0.25">
      <c r="A9" s="4" t="s">
        <v>32</v>
      </c>
      <c r="B9">
        <v>1</v>
      </c>
    </row>
    <row r="10" spans="1:2" x14ac:dyDescent="0.25">
      <c r="A10" s="4" t="s">
        <v>33</v>
      </c>
      <c r="B10">
        <v>1</v>
      </c>
    </row>
    <row r="11" spans="1:2" x14ac:dyDescent="0.25">
      <c r="A11" s="2" t="s">
        <v>40</v>
      </c>
      <c r="B11">
        <v>1</v>
      </c>
    </row>
    <row r="12" spans="1:2" x14ac:dyDescent="0.25">
      <c r="A12" s="4" t="s">
        <v>29</v>
      </c>
      <c r="B12">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20863E47-4F19-4B5B-B54E-5CACAC96BBCA}">
  <ds:schemaRefs>
    <ds:schemaRef ds:uri="http://gemini/pivotcustomization/ShowHidden"/>
  </ds:schemaRefs>
</ds:datastoreItem>
</file>

<file path=customXml/itemProps2.xml><?xml version="1.0" encoding="utf-8"?>
<ds:datastoreItem xmlns:ds="http://schemas.openxmlformats.org/officeDocument/2006/customXml" ds:itemID="{3FA00FE3-8EFC-4C00-9AAA-F1FA54B6459B}">
  <ds:schemaRefs>
    <ds:schemaRef ds:uri="http://gemini/pivotcustomization/MeasureGridState"/>
  </ds:schemaRefs>
</ds:datastoreItem>
</file>

<file path=customXml/itemProps3.xml><?xml version="1.0" encoding="utf-8"?>
<ds:datastoreItem xmlns:ds="http://schemas.openxmlformats.org/officeDocument/2006/customXml" ds:itemID="{ED3BB5DC-7804-434E-8C03-7023B1BEAC7D}">
  <ds:schemaRefs>
    <ds:schemaRef ds:uri="http://gemini/pivotcustomization/SandboxNonEmpty"/>
  </ds:schemaRefs>
</ds:datastoreItem>
</file>

<file path=customXml/itemProps4.xml><?xml version="1.0" encoding="utf-8"?>
<ds:datastoreItem xmlns:ds="http://schemas.openxmlformats.org/officeDocument/2006/customXml" ds:itemID="{EF8F1E69-2268-4538-9063-B78DA94F9BE0}">
  <ds:schemaRefs>
    <ds:schemaRef ds:uri="http://gemini/pivotcustomization/ShowImplicitMeasures"/>
  </ds:schemaRefs>
</ds:datastoreItem>
</file>

<file path=customXml/itemProps5.xml><?xml version="1.0" encoding="utf-8"?>
<ds:datastoreItem xmlns:ds="http://schemas.openxmlformats.org/officeDocument/2006/customXml" ds:itemID="{6473F70C-767C-47F0-A2D2-CB4D48B79634}">
  <ds:schemaRefs>
    <ds:schemaRef ds:uri="http://gemini/pivotcustomization/ManualCalcMode"/>
  </ds:schemaRefs>
</ds:datastoreItem>
</file>

<file path=customXml/itemProps6.xml><?xml version="1.0" encoding="utf-8"?>
<ds:datastoreItem xmlns:ds="http://schemas.openxmlformats.org/officeDocument/2006/customXml" ds:itemID="{51410D61-2726-448B-8A45-1D778D7370D7}">
  <ds:schemaRefs>
    <ds:schemaRef ds:uri="http://gemini/pivotcustomization/IsSandboxEmbedded"/>
  </ds:schemaRefs>
</ds:datastoreItem>
</file>

<file path=customXml/itemProps7.xml><?xml version="1.0" encoding="utf-8"?>
<ds:datastoreItem xmlns:ds="http://schemas.openxmlformats.org/officeDocument/2006/customXml" ds:itemID="{2EAA082B-4EB5-40EF-BC30-584EDE4A8012}">
  <ds:schemaRefs>
    <ds:schemaRef ds:uri="http://gemini/pivotcustomization/Diagrams"/>
  </ds:schemaRefs>
</ds:datastoreItem>
</file>

<file path=customXml/itemProps8.xml><?xml version="1.0" encoding="utf-8"?>
<ds:datastoreItem xmlns:ds="http://schemas.openxmlformats.org/officeDocument/2006/customXml" ds:itemID="{5A3E3BE0-F88C-4A54-B6EF-52DA717F6ED6}">
  <ds:schemaRefs>
    <ds:schemaRef ds:uri="http://gemini/pivotcustomization/LinkedTableUpdateMode"/>
  </ds:schemaRefs>
</ds:datastoreItem>
</file>

<file path=customXml/itemProps9.xml><?xml version="1.0" encoding="utf-8"?>
<ds:datastoreItem xmlns:ds="http://schemas.openxmlformats.org/officeDocument/2006/customXml" ds:itemID="{01DFC336-93AA-4712-B10B-2FA5C28356DD}">
  <ds:schemaRefs>
    <ds:schemaRef ds:uri="http://gemini/pivotcustomization/TableOrder"/>
  </ds:schemaRefs>
</ds:datastoreItem>
</file>

<file path=customXml/itemProps10.xml><?xml version="1.0" encoding="utf-8"?>
<ds:datastoreItem xmlns:ds="http://schemas.openxmlformats.org/officeDocument/2006/customXml" ds:itemID="{DF543259-1C8E-434B-BF99-F5D053DE9E7C}">
  <ds:schemaRefs>
    <ds:schemaRef ds:uri="http://gemini/pivotcustomization/PowerPivotVersion"/>
  </ds:schemaRefs>
</ds:datastoreItem>
</file>

<file path=customXml/itemProps11.xml><?xml version="1.0" encoding="utf-8"?>
<ds:datastoreItem xmlns:ds="http://schemas.openxmlformats.org/officeDocument/2006/customXml" ds:itemID="{C1CCA2B4-CA8F-4489-8664-42EEEDFF8DF8}">
  <ds:schemaRefs>
    <ds:schemaRef ds:uri="http://gemini/pivotcustomization/ErrorCache"/>
  </ds:schemaRefs>
</ds:datastoreItem>
</file>

<file path=customXml/itemProps12.xml><?xml version="1.0" encoding="utf-8"?>
<ds:datastoreItem xmlns:ds="http://schemas.openxmlformats.org/officeDocument/2006/customXml" ds:itemID="{C29B16E7-D3DA-43D1-AC57-CED6D8B89D89}">
  <ds:schemaRefs>
    <ds:schemaRef ds:uri="http://gemini/pivotcustomization/RelationshipAutoDetectionEnabled"/>
  </ds:schemaRefs>
</ds:datastoreItem>
</file>

<file path=customXml/itemProps13.xml><?xml version="1.0" encoding="utf-8"?>
<ds:datastoreItem xmlns:ds="http://schemas.openxmlformats.org/officeDocument/2006/customXml" ds:itemID="{2844BE95-E1EF-4778-A304-4021CC780FF8}">
  <ds:schemaRefs>
    <ds:schemaRef ds:uri="http://gemini/pivotcustomization/TableXML_proficiency distribution_a2776600-156a-4204-92ff-d1b546540c62"/>
  </ds:schemaRefs>
</ds:datastoreItem>
</file>

<file path=customXml/itemProps14.xml><?xml version="1.0" encoding="utf-8"?>
<ds:datastoreItem xmlns:ds="http://schemas.openxmlformats.org/officeDocument/2006/customXml" ds:itemID="{D6640712-8ECE-455B-B922-B5AF8210B65D}">
  <ds:schemaRefs>
    <ds:schemaRef ds:uri="http://gemini/pivotcustomization/TableXML_teams_0d3e88bf-166c-4cd4-a91b-db61e9e2db8e"/>
  </ds:schemaRefs>
</ds:datastoreItem>
</file>

<file path=customXml/itemProps15.xml><?xml version="1.0" encoding="utf-8"?>
<ds:datastoreItem xmlns:ds="http://schemas.openxmlformats.org/officeDocument/2006/customXml" ds:itemID="{61FEAA17-E75F-4178-AC8C-73DB804459F4}">
  <ds:schemaRefs>
    <ds:schemaRef ds:uri="http://gemini/pivotcustomization/FormulaBarState"/>
  </ds:schemaRefs>
</ds:datastoreItem>
</file>

<file path=customXml/itemProps16.xml><?xml version="1.0" encoding="utf-8"?>
<ds:datastoreItem xmlns:ds="http://schemas.openxmlformats.org/officeDocument/2006/customXml" ds:itemID="{7AF69306-0AE8-4EB6-9CCC-D972F5ED3430}">
  <ds:schemaRefs>
    <ds:schemaRef ds:uri="http://gemini/pivotcustomization/ClientWindowXML"/>
  </ds:schemaRefs>
</ds:datastoreItem>
</file>

<file path=customXml/itemProps17.xml><?xml version="1.0" encoding="utf-8"?>
<ds:datastoreItem xmlns:ds="http://schemas.openxmlformats.org/officeDocument/2006/customXml" ds:itemID="{D011DBEE-14F4-4D21-B0BE-13765E031360}">
  <ds:schemaRefs>
    <ds:schemaRef ds:uri="http://gemini/pivotcustomization/TableWidget"/>
  </ds:schemaRefs>
</ds:datastoreItem>
</file>

<file path=customXml/itemProps18.xml><?xml version="1.0" encoding="utf-8"?>
<ds:datastoreItem xmlns:ds="http://schemas.openxmlformats.org/officeDocument/2006/customXml" ds:itemID="{764B4B5A-93DC-4E97-B1F9-5D3D841196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clean dataset</vt:lpstr>
      <vt:lpstr>skill distribution</vt:lpstr>
      <vt:lpstr>skill gaps</vt:lpstr>
      <vt:lpstr>proficiency distribution</vt:lpstr>
      <vt:lpstr>respondent skill counts</vt:lpstr>
      <vt:lpstr>team 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Ayabonga Mbobo</dc:creator>
  <cp:keywords/>
  <dc:description/>
  <cp:lastModifiedBy>Christopher Ayabonga</cp:lastModifiedBy>
  <cp:revision/>
  <dcterms:created xsi:type="dcterms:W3CDTF">2026-08-25T23:52:51Z</dcterms:created>
  <dcterms:modified xsi:type="dcterms:W3CDTF">2026-09-23T11:33:17Z</dcterms:modified>
  <cp:category/>
  <cp:contentStatus/>
</cp:coreProperties>
</file>