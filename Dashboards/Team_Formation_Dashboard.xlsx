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montl\OneDrive\Documents\Montle\Analytics\Projects\Team Formation Analysis\Dashboards\"/>
    </mc:Choice>
  </mc:AlternateContent>
  <xr:revisionPtr revIDLastSave="0" documentId="8_{7F11D150-F4E7-4D5F-A40F-66649EFC63A9}" xr6:coauthVersionLast="47" xr6:coauthVersionMax="47" xr10:uidLastSave="{00000000-0000-0000-0000-000000000000}"/>
  <workbookProtection workbookAlgorithmName="SHA-512" workbookHashValue="ObqhesLbTbpL07R33yE0YZtQVrWN5Cn4xpCSEYydj08zVBpTi/PQOAxtryTI10ivOzX1V6rXtMazgQBPzSfbAw==" workbookSaltValue="913cjVRsaxd83mIU9wacJA==" workbookSpinCount="100000" lockStructure="1"/>
  <bookViews>
    <workbookView xWindow="-120" yWindow="-120" windowWidth="20730" windowHeight="11160" firstSheet="11" activeTab="12" xr2:uid="{A046E611-75CD-4442-B0ED-4794B4B972D6}"/>
  </bookViews>
  <sheets>
    <sheet name="skill distribution" sheetId="5" r:id="rId1"/>
    <sheet name="team formation" sheetId="16" state="hidden" r:id="rId2"/>
    <sheet name="data validation" sheetId="3" r:id="rId3"/>
    <sheet name="teams" sheetId="17" state="hidden" r:id="rId4"/>
    <sheet name="proficiency distribution" sheetId="18" state="hidden" r:id="rId5"/>
    <sheet name="team summary" sheetId="20" state="hidden" r:id="rId6"/>
    <sheet name="team recommendations" sheetId="21" state="hidden" r:id="rId7"/>
    <sheet name="draft 2" sheetId="7" state="hidden" r:id="rId8"/>
    <sheet name="draft1" sheetId="19" state="hidden" r:id="rId9"/>
    <sheet name="drafts2" sheetId="22" state="hidden" r:id="rId10"/>
    <sheet name="Sheet2" sheetId="28" state="hidden" r:id="rId11"/>
    <sheet name="Team Skill Distribution" sheetId="26" r:id="rId12"/>
    <sheet name="Overall Skill Distribution" sheetId="24" r:id="rId13"/>
  </sheets>
  <definedNames>
    <definedName name="avg_skill_count">'team summary'!$B$5</definedName>
    <definedName name="avg_skills">'team summary'!$B$6</definedName>
    <definedName name="ExternalData_1" localSheetId="0" hidden="1">'skill distribution'!$A$1:$D$21</definedName>
    <definedName name="ExternalData_2" localSheetId="1" hidden="1">'team formation'!$A$1:$C$34</definedName>
    <definedName name="full_proficiency_list">'data validation'!$C$2:$C$5</definedName>
    <definedName name="high_skill">'team summary'!$B$6</definedName>
    <definedName name="memA">'data validation'!$A$12:$A$14</definedName>
    <definedName name="memB">'data validation'!$B$12:$B$15</definedName>
    <definedName name="members_cal" localSheetId="9">drafts2!$I$7</definedName>
    <definedName name="members_cal" localSheetId="11">'Team Skill Distribution'!$H$7</definedName>
    <definedName name="members_cal">draft1!$P$21</definedName>
    <definedName name="memC">'data validation'!$C$12:$C$14</definedName>
    <definedName name="message">'skill distribution'!$H$9</definedName>
    <definedName name="proficiency">'Overall Skill Distribution'!$C$10</definedName>
    <definedName name="proficiency_cal">'skill distribution'!$H$6</definedName>
    <definedName name="rec">'team recommendations'!$B$5</definedName>
    <definedName name="rec_A">'team recommendations'!$A$2</definedName>
    <definedName name="rec_B">'team recommendations'!$B$2</definedName>
    <definedName name="rec_C">'team recommendations'!$C$2</definedName>
    <definedName name="short_list">'data validation'!$F$2:$F$3</definedName>
    <definedName name="skill">'Overall Skill Distribution'!$C$6</definedName>
    <definedName name="skill_top">'team summary'!$B$6</definedName>
    <definedName name="skills_covered">'team summary'!$B$3</definedName>
    <definedName name="Slicer_respondent_id2">#N/A</definedName>
    <definedName name="Slicer_skill">#N/A</definedName>
    <definedName name="space">'team summary'!$B$2</definedName>
    <definedName name="teams">teams!$B$1</definedName>
    <definedName name="top_skill">'team summary'!$B$6</definedName>
    <definedName name="top_skill_exe">'team summary'!$B$6</definedName>
    <definedName name="top_skills">'team summary'!$B$6</definedName>
    <definedName name="total_members">'team summary'!$B$1</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eams_0d3e88bf-166c-4cd4-a91b-db61e9e2db8e" name="teams" connection="Query - teams"/>
          <x15:modelTable id="proficiency distribution_a2776600-156a-4204-92ff-d1b546540c62" name="proficiency distribution" connection="Query - proficiency distributio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3" i="28" l="1"/>
  <c r="D4" i="28"/>
  <c r="D5" i="28"/>
  <c r="D6" i="28"/>
  <c r="D7" i="28"/>
  <c r="D8" i="28"/>
  <c r="D9" i="28"/>
  <c r="D2" i="28"/>
  <c r="C3" i="28"/>
  <c r="C4" i="28"/>
  <c r="C5" i="28"/>
  <c r="C6" i="28"/>
  <c r="C7" i="28"/>
  <c r="C8" i="28"/>
  <c r="C9" i="28"/>
  <c r="C2" i="28"/>
  <c r="H7" i="26" a="1"/>
  <c r="H7" i="26" s="1"/>
  <c r="B6" i="20" a="1"/>
  <c r="B6" i="20" s="1"/>
  <c r="I7" i="22" a="1"/>
  <c r="I7" i="22" s="1"/>
  <c r="B1" i="20" a="1"/>
  <c r="B1" i="20" s="1"/>
  <c r="B5" i="21" l="1" a="1"/>
  <c r="B5" i="21" s="1"/>
  <c r="A10" i="21" s="1"/>
  <c r="P21" i="19" a="1"/>
  <c r="P21" i="19" s="1"/>
  <c r="B3" i="20"/>
  <c r="B5" i="20" a="1"/>
  <c r="H6" i="5" a="1"/>
  <c r="B5" i="20" l="1"/>
  <c r="B2" i="20"/>
  <c r="H6" i="5"/>
  <c r="C16" i="7" l="1"/>
  <c r="H9" i="5"/>
  <c r="B17"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66A91B-AD6B-42B8-84A4-EC6A39C53D41}" keepAlive="1" name="Query - dataset" description="Connection to the 'dataset' query in the workbook." type="5" refreshedVersion="8" background="1" saveData="1">
    <dbPr connection="Provider=Microsoft.Mashup.OleDb.1;Data Source=$Workbook$;Location=dataset;Extended Properties=&quot;&quot;" command="SELECT * FROM [dataset]"/>
  </connection>
  <connection id="2" xr16:uid="{8A278FA0-4D6F-485E-B525-6C9CE24CCB8E}" name="Query - proficiency distribution" description="Connection to the 'proficiency distribution' query in the workbook." type="100" refreshedVersion="8" minRefreshableVersion="5">
    <extLst>
      <ext xmlns:x15="http://schemas.microsoft.com/office/spreadsheetml/2010/11/main" uri="{DE250136-89BD-433C-8126-D09CA5730AF9}">
        <x15:connection id="4a6e01b3-abca-4386-9f35-a578e4179aca"/>
      </ext>
    </extLst>
  </connection>
  <connection id="3" xr16:uid="{08D2CA53-A72A-4AC1-B282-BCDACCB352B2}" keepAlive="1" name="Query - skill distribution" description="Connection to the 'skill distribution' query in the workbook." type="5" refreshedVersion="8" background="1" saveData="1">
    <dbPr connection="Provider=Microsoft.Mashup.OleDb.1;Data Source=$Workbook$;Location=&quot;skill distribution&quot;;Extended Properties=&quot;&quot;" command="SELECT * FROM [skill distribution]"/>
  </connection>
  <connection id="4" xr16:uid="{175C84B0-1AD4-420C-B315-B0912004036D}" keepAlive="1" name="Query - team formation" description="Connection to the 'team formation' query in the workbook." type="5" refreshedVersion="8" background="1" saveData="1">
    <dbPr connection="Provider=Microsoft.Mashup.OleDb.1;Data Source=$Workbook$;Location=&quot;team formation&quot;;Extended Properties=&quot;&quot;" command="SELECT * FROM [team formation]"/>
  </connection>
  <connection id="5" xr16:uid="{90F594CD-C824-4455-B6BE-575FAC89BF7E}" name="Query - teams" description="Connection to the 'teams' query in the workbook." type="100" refreshedVersion="8" minRefreshableVersion="5">
    <extLst>
      <ext xmlns:x15="http://schemas.microsoft.com/office/spreadsheetml/2010/11/main" uri="{DE250136-89BD-433C-8126-D09CA5730AF9}">
        <x15:connection id="259b3162-2552-4f32-8fd7-ece761ca5883"/>
      </ext>
    </extLst>
  </connection>
  <connection id="6" xr16:uid="{0D3B6559-93B2-4487-92E5-9B695291A47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<sst xmlns="http://schemas.openxmlformats.org/spreadsheetml/2006/main" count="335" uniqueCount="83">
  <si>
    <t>skill</t>
  </si>
  <si>
    <t>proficiency</t>
  </si>
  <si>
    <t>Count</t>
  </si>
  <si>
    <t>proficiency percentage</t>
  </si>
  <si>
    <t>BI Tools</t>
  </si>
  <si>
    <t>None</t>
  </si>
  <si>
    <t>Beginner</t>
  </si>
  <si>
    <t>Data Manipulation</t>
  </si>
  <si>
    <t>Yes</t>
  </si>
  <si>
    <t>Domain  Knowledge</t>
  </si>
  <si>
    <t>EDA</t>
  </si>
  <si>
    <t>Presentation</t>
  </si>
  <si>
    <t>Project  Management</t>
  </si>
  <si>
    <t>Python or R</t>
  </si>
  <si>
    <t>Intermeiate</t>
  </si>
  <si>
    <t>SQL</t>
  </si>
  <si>
    <t>Spreadsheets</t>
  </si>
  <si>
    <t>respondent_id</t>
  </si>
  <si>
    <t>resp01</t>
  </si>
  <si>
    <t>resp02</t>
  </si>
  <si>
    <t>resp03</t>
  </si>
  <si>
    <t>resp04</t>
  </si>
  <si>
    <t>resp06</t>
  </si>
  <si>
    <t>resp07</t>
  </si>
  <si>
    <t>resp08</t>
  </si>
  <si>
    <t>resp09</t>
  </si>
  <si>
    <t>resp10</t>
  </si>
  <si>
    <t>resp11</t>
  </si>
  <si>
    <t>Skill</t>
  </si>
  <si>
    <t>Full Proficiency Level</t>
  </si>
  <si>
    <t>Proficiency Level</t>
  </si>
  <si>
    <t>Intermediate</t>
  </si>
  <si>
    <t>Project Management</t>
  </si>
  <si>
    <t>Team A</t>
  </si>
  <si>
    <t>Team B</t>
  </si>
  <si>
    <t>Team C</t>
  </si>
  <si>
    <t>Respondent 1</t>
  </si>
  <si>
    <t>Respondent 2</t>
  </si>
  <si>
    <t>Respondent 4</t>
  </si>
  <si>
    <t>Respondent 3</t>
  </si>
  <si>
    <t>Respondent 8</t>
  </si>
  <si>
    <t>Respondent 6</t>
  </si>
  <si>
    <t>Respondent 7</t>
  </si>
  <si>
    <t>Respondent 11</t>
  </si>
  <si>
    <t>Respondent 10</t>
  </si>
  <si>
    <t>Team</t>
  </si>
  <si>
    <t>Skill Count</t>
  </si>
  <si>
    <t>Row Labels</t>
  </si>
  <si>
    <t>Count of proficiency</t>
  </si>
  <si>
    <t>Grand Total</t>
  </si>
  <si>
    <t>total members</t>
  </si>
  <si>
    <t>respondent_id2</t>
  </si>
  <si>
    <t>available space</t>
  </si>
  <si>
    <t>skills covered</t>
  </si>
  <si>
    <t>Average skill per person</t>
  </si>
  <si>
    <t>Top Skills</t>
  </si>
  <si>
    <t xml:space="preserve">      OVERALL SKILL DISTRIBUTION</t>
  </si>
  <si>
    <t xml:space="preserve">              Skill prevalence and proficiency among respondents</t>
  </si>
  <si>
    <t>SELECT SKILL</t>
  </si>
  <si>
    <t xml:space="preserve">            </t>
  </si>
  <si>
    <t>SELECT PROFICIENCY</t>
  </si>
  <si>
    <t xml:space="preserve"> </t>
  </si>
  <si>
    <t>RESPONDENTS</t>
  </si>
  <si>
    <t xml:space="preserve">   TEAM COMPOSITION OVERVIEW</t>
  </si>
  <si>
    <t xml:space="preserve">       Overall view of a team's skills</t>
  </si>
  <si>
    <r>
      <t xml:space="preserve"> </t>
    </r>
    <r>
      <rPr>
        <b/>
        <sz val="18"/>
        <color theme="1"/>
        <rFont val="Calibri"/>
        <family val="2"/>
        <scheme val="minor"/>
      </rPr>
      <t xml:space="preserve"> TEAM SUMMARY</t>
    </r>
  </si>
  <si>
    <t>TEAM MEMBERS</t>
  </si>
  <si>
    <t>RECOMMENDATIONS</t>
  </si>
  <si>
    <t xml:space="preserve">  </t>
  </si>
  <si>
    <t>1. Strengthen Python and BI Tools coverage (Intermediate+)
2. Add a second Project Management contributor for workload balance
3. Build domain knowledge through independent research</t>
  </si>
  <si>
    <t>1. Find a member who can perform EDA and Data Manipulation using Python or SQL (Intermediate+)
2.  Build domain knowledge through independent research</t>
  </si>
  <si>
    <t>1. Find a member who can perform EDA and Data Manipulation using Python or SQL (Intermediate+)
2. Strengthen BI Tools coverage (Intermediate+)
3. Build domain knowledge through independent research</t>
  </si>
  <si>
    <t>Respondent 9</t>
  </si>
  <si>
    <t>OVERALL SKILL DISTRIBUTION</t>
  </si>
  <si>
    <t>SELECT A SKILL</t>
  </si>
  <si>
    <t>SELECT PREVALENCE OR PROFICIENCY</t>
  </si>
  <si>
    <t xml:space="preserve">                                </t>
  </si>
  <si>
    <t xml:space="preserve">                        TEAM COMPOSITION OVIERVIEW</t>
  </si>
  <si>
    <t xml:space="preserve">                                  Capacity and Gap Analysis</t>
  </si>
  <si>
    <t xml:space="preserve">       Cohort Competency Mapping</t>
  </si>
  <si>
    <t xml:space="preserve">                        TEAM COMPOSITION OVERVIEW</t>
  </si>
  <si>
    <t>Helper 1</t>
  </si>
  <si>
    <t>Helper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</si>
</sst>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3" x14ac:knownFonts="1">
    <font>
      <sz val="11"/>
      <color theme="1"/>
      <name val="Calibri"/>
      <family val="2"/>
      <scheme val="minor"/>
    </font>
    <font>
      <sz val="11"/>
      <color theme="1"/>
      <name val="Calibri"/>
      <family val="2"/>
      <scheme val="minor"/>
    </font>
    <font>
      <b/>
      <sz val="15"/>
      <color theme="3"/>
      <name val="Calibri"/>
      <family val="2"/>
      <scheme val="minor"/>
    </font>
    <font>
      <b/>
      <sz val="11"/>
      <color theme="1"/>
      <name val="Calibri"/>
      <family val="2"/>
      <scheme val="minor"/>
    </font>
    <font>
      <b/>
      <sz val="36"/>
      <color theme="1"/>
      <name val="Calibri"/>
      <family val="2"/>
      <scheme val="major"/>
    </font>
    <font>
      <sz val="20"/>
      <color theme="1"/>
      <name val="Calibri"/>
      <family val="2"/>
      <scheme val="minor"/>
    </font>
    <font>
      <i/>
      <sz val="18"/>
      <color theme="3"/>
      <name val="Calibri"/>
      <family val="2"/>
      <scheme val="minor"/>
    </font>
    <font>
      <b/>
      <sz val="16"/>
      <color theme="5" tint="-0.499984740745262"/>
      <name val="Calibri"/>
      <family val="2"/>
      <scheme val="major"/>
    </font>
    <font>
      <sz val="14"/>
      <color theme="1"/>
      <name val="Calibri"/>
      <family val="2"/>
      <scheme val="minor"/>
    </font>
    <font>
      <sz val="22"/>
      <color theme="5" tint="-0.499984740745262"/>
      <name val="Calibri"/>
      <family val="2"/>
      <scheme val="minor"/>
    </font>
    <font>
      <b/>
      <sz val="18"/>
      <color theme="3"/>
      <name val="Calibri"/>
      <family val="2"/>
      <scheme val="minor"/>
    </font>
    <font>
      <b/>
      <sz val="30"/>
      <color theme="1"/>
      <name val="Calibri"/>
      <family val="2"/>
      <scheme val="minor"/>
    </font>
    <font>
      <i/>
      <sz val="15"/>
      <color theme="1"/>
      <name val="Calibri"/>
      <family val="2"/>
      <scheme val="minor"/>
    </font>
    <font>
      <sz val="18"/>
      <color theme="1"/>
      <name val="Calibri"/>
      <family val="2"/>
      <scheme val="minor"/>
    </font>
    <font>
      <b/>
      <sz val="18"/>
      <color theme="1"/>
      <name val="Calibri"/>
      <family val="2"/>
      <scheme val="minor"/>
    </font>
    <font>
      <b/>
      <sz val="14"/>
      <color theme="1"/>
      <name val="Calibri"/>
      <family val="2"/>
      <scheme val="minor"/>
    </font>
    <font>
      <i/>
      <sz val="16"/>
      <color theme="1"/>
      <name val="Calibri"/>
      <family val="2"/>
      <scheme val="minor"/>
    </font>
    <font>
      <b/>
      <sz val="36"/>
      <color theme="1"/>
      <name val="Calibri"/>
      <family val="2"/>
      <scheme val="minor"/>
    </font>
    <font>
      <sz val="18"/>
      <color theme="3" tint="-0.499984740745262"/>
      <name val="Calibri"/>
      <family val="2"/>
      <scheme val="minor"/>
    </font>
    <font>
      <i/>
      <sz val="14"/>
      <color theme="1"/>
      <name val="Calibri"/>
      <family val="2"/>
      <scheme val="minor"/>
    </font>
    <font>
      <sz val="10"/>
      <color theme="1"/>
      <name val="Calibri"/>
      <family val="2"/>
      <scheme val="minor"/>
    </font>
    <font>
      <b/>
      <sz val="12"/>
      <color theme="1"/>
      <name val="Calibri"/>
      <family val="2"/>
      <scheme val="minor"/>
    </font>
    <font>
      <sz val="12"/>
      <color theme="1"/>
      <name val="Calibri"/>
      <family val="2"/>
      <scheme val="minor"/>
    </font>
  </fonts>
  <fills count="9">
    <fill>
      <patternFill patternType="none"/>
    </fill>
    <fill>
      <patternFill patternType="gray125"/>
    </fill>
    <fill>
      <patternFill patternType="solid">
        <fgColor theme="4" tint="0.79998168889431442"/>
        <bgColor indexed="65"/>
      </patternFill>
    </fill>
    <fill>
      <patternFill patternType="solid">
        <fgColor rgb="FFE9E6D7"/>
        <bgColor indexed="64"/>
      </patternFill>
    </fill>
    <fill>
      <patternFill patternType="solid">
        <fgColor theme="5" tint="0.39997558519241921"/>
        <bgColor indexed="65"/>
      </patternFill>
    </fill>
    <fill>
      <patternFill patternType="solid">
        <fgColor theme="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0"/>
        <bgColor indexed="64"/>
      </patternFill>
    </fill>
  </fills>
  <borders count="2">
    <border>
      <left/>
      <right/>
      <top/>
      <bottom/>
      <diagonal/>
    </border>
    <border>
      <left/>
      <right/>
      <top/>
      <bottom style="thick">
        <color theme="4"/>
      </bottom>
      <diagonal/>
    </border>
  </borders>
  <cellStyleXfs count="5">
    <xf numFmtId="0" fontId="0" fillId="0" borderId="0"/>
    <xf numFmtId="9" fontId="1" fillId="0" borderId="0" applyFont="0" applyFill="0" applyBorder="0" applyAlignment="0" applyProtection="0"/>
    <xf numFmtId="0" fontId="2" fillId="0" borderId="1" applyNumberFormat="0" applyFill="0" applyAlignment="0" applyProtection="0"/>
    <xf numFmtId="0" fontId="1" fillId="2" borderId="0" applyNumberFormat="0" applyBorder="0" applyAlignment="0" applyProtection="0"/>
    <xf numFmtId="0" fontId="1" fillId="4" borderId="0" applyNumberFormat="0" applyBorder="0" applyAlignment="0" applyProtection="0"/>
  </cellStyleXfs>
  <cellXfs count="45">
    <xf numFmtId="0" fontId="0" fillId="0" borderId="0" xfId="0"/>
    <xf numFmtId="0" fontId="3" fillId="0" borderId="0" xfId="0" applyFont="1"/>
    <xf numFmtId="0" fontId="0" fillId="0" borderId="0" xfId="0" pivotButton="1"/>
    <xf numFmtId="0" fontId="0" fillId="0" borderId="0" xfId="0" applyAlignment="1">
      <alignment horizontal="left"/>
    </xf>
    <xf numFmtId="9" fontId="3" fillId="0" borderId="0" xfId="1" applyFont="1"/>
    <xf numFmtId="9" fontId="0" fillId="0" borderId="0" xfId="1" applyFont="1"/>
    <xf numFmtId="0" fontId="1" fillId="2" borderId="0" xfId="3"/>
    <xf numFmtId="0" fontId="0" fillId="0" borderId="0" xfId="0" applyAlignment="1">
      <alignment vertical="top"/>
    </xf>
    <xf numFmtId="0" fontId="7" fillId="2" borderId="0" xfId="3" applyFont="1" applyAlignment="1">
      <alignment horizontal="center"/>
    </xf>
    <xf numFmtId="9" fontId="5" fillId="2" borderId="0" xfId="1" applyFont="1" applyFill="1" applyAlignment="1">
      <alignment horizontal="center" vertical="center"/>
    </xf>
    <xf numFmtId="0" fontId="5" fillId="0" borderId="0" xfId="0" applyFont="1" applyAlignment="1">
      <alignment horizontal="center" vertical="center"/>
    </xf>
    <xf numFmtId="0" fontId="3" fillId="0" borderId="0" xfId="0" applyFont="1" applyAlignment="1">
      <alignment horizontal="left"/>
    </xf>
    <xf numFmtId="9" fontId="9" fillId="2" borderId="0" xfId="1" applyFont="1" applyFill="1" applyAlignment="1">
      <alignment horizontal="center" vertical="center"/>
    </xf>
    <xf numFmtId="164" fontId="0" fillId="0" borderId="0" xfId="0" applyNumberFormat="1"/>
    <xf numFmtId="0" fontId="0" fillId="0" borderId="0" xfId="0" applyAlignment="1">
      <alignment horizontal="left" vertical="top" wrapText="1"/>
    </xf>
    <xf numFmtId="0" fontId="13" fillId="0" borderId="0" xfId="0" applyFont="1" applyAlignment="1">
      <alignment horizontal="center"/>
    </xf>
    <xf numFmtId="0" fontId="8" fillId="0" borderId="0" xfId="0" applyFont="1"/>
    <xf numFmtId="0" fontId="15" fillId="3" borderId="0" xfId="0" applyFont="1" applyFill="1"/>
    <xf numFmtId="0" fontId="0" fillId="0" borderId="0" xfId="0" applyAlignment="1">
      <alignment horizontal="left" vertical="top"/>
    </xf>
    <xf numFmtId="0" fontId="15" fillId="3" borderId="0" xfId="0" applyFont="1" applyFill="1" applyAlignment="1">
      <alignment horizontal="center"/>
    </xf>
    <xf numFmtId="0" fontId="8" fillId="0" borderId="0" xfId="0" applyFont="1" applyAlignment="1">
      <alignment horizontal="center"/>
    </xf>
    <xf numFmtId="0" fontId="5" fillId="8" borderId="0" xfId="4" applyFont="1" applyFill="1" applyAlignment="1">
      <alignment horizontal="center" vertical="center"/>
    </xf>
    <xf numFmtId="0" fontId="17" fillId="7" borderId="0" xfId="0" applyFont="1" applyFill="1" applyAlignment="1">
      <alignment horizontal="center" vertical="center"/>
    </xf>
    <xf numFmtId="0" fontId="0" fillId="7" borderId="0" xfId="0" applyFill="1"/>
    <xf numFmtId="0" fontId="16" fillId="7" borderId="0" xfId="0" applyFont="1" applyFill="1" applyAlignment="1">
      <alignment horizontal="center" vertical="center"/>
    </xf>
    <xf numFmtId="0" fontId="18" fillId="0" borderId="0" xfId="0" applyFont="1" applyAlignment="1">
      <alignment horizontal="center" vertical="top"/>
    </xf>
    <xf numFmtId="0" fontId="18" fillId="0" borderId="0" xfId="0" applyFont="1" applyAlignment="1">
      <alignment horizontal="center" vertical="center"/>
    </xf>
    <xf numFmtId="0" fontId="18" fillId="0" borderId="0" xfId="0" applyFont="1" applyAlignment="1">
      <alignment horizontal="center"/>
    </xf>
    <xf numFmtId="0" fontId="5" fillId="6" borderId="0" xfId="4" applyFont="1" applyFill="1" applyAlignment="1" applyProtection="1">
      <alignment horizontal="center" vertical="center"/>
      <protection locked="0"/>
    </xf>
    <xf numFmtId="0" fontId="20" fillId="0" borderId="0" xfId="0" applyFont="1"/>
    <xf numFmtId="0" fontId="21" fillId="3" borderId="0" xfId="0" applyFont="1" applyFill="1" applyAlignment="1">
      <alignment horizontal="center"/>
    </xf>
    <xf numFmtId="0" fontId="22" fillId="0" borderId="0" xfId="0" applyFont="1" applyAlignment="1">
      <alignment horizontal="center"/>
    </xf>
    <xf numFmtId="0" fontId="11" fillId="0" borderId="0" xfId="0" applyFont="1" applyAlignment="1">
      <alignment horizontal="center"/>
    </xf>
    <xf numFmtId="0" fontId="19" fillId="0" borderId="0" xfId="0" applyFont="1" applyAlignment="1">
      <alignment horizontal="center" vertical="top"/>
    </xf>
    <xf numFmtId="0" fontId="13" fillId="5" borderId="0" xfId="0" applyFont="1" applyFill="1" applyAlignment="1">
      <alignment horizontal="center" vertical="center"/>
    </xf>
    <xf numFmtId="0" fontId="4" fillId="0" borderId="0" xfId="0" applyFont="1" applyAlignment="1">
      <alignment horizontal="left"/>
    </xf>
    <xf numFmtId="0" fontId="6" fillId="0" borderId="1" xfId="2" applyFont="1" applyAlignment="1">
      <alignment horizontal="left" vertical="top"/>
    </xf>
    <xf numFmtId="0" fontId="10" fillId="0" borderId="1" xfId="2" applyFont="1" applyAlignment="1">
      <alignment horizontal="left" vertical="top"/>
    </xf>
    <xf numFmtId="9" fontId="15" fillId="2" borderId="0" xfId="1" applyFont="1" applyFill="1" applyAlignment="1">
      <alignment horizontal="center" vertical="center"/>
    </xf>
    <xf numFmtId="0" fontId="11" fillId="0" borderId="0" xfId="0" applyFont="1" applyAlignment="1">
      <alignment horizontal="left"/>
    </xf>
    <xf numFmtId="0" fontId="12" fillId="0" borderId="0" xfId="0" applyFont="1" applyAlignment="1">
      <alignment horizontal="left" vertical="top"/>
    </xf>
    <xf numFmtId="0" fontId="16" fillId="0" borderId="0" xfId="0" applyFont="1" applyAlignment="1">
      <alignment horizontal="center" vertical="top"/>
    </xf>
    <xf numFmtId="0" fontId="16" fillId="7" borderId="0" xfId="0" applyFont="1" applyFill="1" applyAlignment="1">
      <alignment horizontal="center" vertical="center"/>
    </xf>
    <xf numFmtId="0" fontId="17" fillId="7" borderId="0" xfId="0" applyFont="1" applyFill="1" applyAlignment="1">
      <alignment horizontal="center" vertical="center"/>
    </xf>
    <xf numFmtId="0" fontId="0" fillId="0" borderId="0" xfId="0" applyNumberFormat="1"/>
  </cellXfs>
  <cellStyles count="5">
    <cellStyle name="20% - Accent1" xfId="3" builtinId="30"/>
    <cellStyle name="60% - Accent2" xfId="4" builtinId="36"/>
    <cellStyle name="Heading 1" xfId="2" builtinId="16"/>
    <cellStyle name="Normal" xfId="0" builtinId="0"/>
    <cellStyle name="Per cent" xfId="1" builtinId="5"/>
  </cellStyles>
  <dxfs count="5">
    <dxf>
      <font>
        <b val="0"/>
        <i val="0"/>
        <strike val="0"/>
        <condense val="0"/>
        <extend val="0"/>
        <outline val="0"/>
        <shadow val="0"/>
        <u val="none"/>
        <vertAlign val="baseline"/>
        <sz val="11"/>
        <color theme="1"/>
        <name val="Calibri"/>
        <family val="2"/>
        <scheme val="minor"/>
      </font>
    </dxf>
    <dxf>
      <numFmt numFmtId="0" formatCode="General"/>
    </dxf>
    <dxf>
      <font>
        <b/>
      </font>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Light1 2" pivot="0" table="0" count="10" xr9:uid="{5D9443ED-DB86-45B3-B1FD-13AFD88CA65D}">
      <tableStyleElement type="wholeTable" dxfId="4"/>
      <tableStyleElement type="headerRow" dxfId="3"/>
    </tableStyle>
  </tableStyles>
  <colors>
    <mruColors>
      <color rgb="FFAE167B"/>
      <color rgb="FFDFF1D3"/>
      <color rgb="FFEBF5D7"/>
      <color rgb="FFEAEAEA"/>
      <color rgb="FF1B5337"/>
      <color rgb="FFC2E088"/>
      <color rgb="FFF4F3EC"/>
      <color rgb="FF739A28"/>
      <color rgb="FF206252"/>
      <color rgb="FF297D5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connections" Target="connections.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eetMetadata" Target="metadata.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microsoft.com/office/2017/10/relationships/person" Target="persons/person.xml"/><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worksheet" Target="worksheets/sheet10.xml"/><Relationship Id="rId19" Type="http://schemas.openxmlformats.org/officeDocument/2006/relationships/styles" Target="styles.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powerPivotData" Target="model/item.data"/><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ZA" sz="1600" b="1">
                <a:solidFill>
                  <a:schemeClr val="tx2">
                    <a:lumMod val="50000"/>
                  </a:schemeClr>
                </a:solidFill>
              </a:rPr>
              <a:t>Skill</a:t>
            </a:r>
            <a:r>
              <a:rPr lang="en-ZA" sz="1600" b="1" baseline="0">
                <a:solidFill>
                  <a:schemeClr val="tx2">
                    <a:lumMod val="50000"/>
                  </a:schemeClr>
                </a:solidFill>
              </a:rPr>
              <a:t> Distribution</a:t>
            </a:r>
          </a:p>
          <a:p>
            <a:pPr algn="l">
              <a:defRPr/>
            </a:pPr>
            <a:r>
              <a:rPr lang="en-ZA" sz="1200" baseline="0"/>
              <a:t>Number of respondents who have eack skill</a:t>
            </a:r>
          </a:p>
          <a:p>
            <a:pPr algn="l">
              <a:defRPr/>
            </a:pPr>
            <a:endParaRPr lang="en-ZA" baseline="0"/>
          </a:p>
          <a:p>
            <a:pPr algn="l">
              <a:defRPr/>
            </a:pPr>
            <a:endParaRPr lang="en-ZA"/>
          </a:p>
        </c:rich>
      </c:tx>
      <c:layout>
        <c:manualLayout>
          <c:xMode val="edge"/>
          <c:yMode val="edge"/>
          <c:x val="0.10303572709149061"/>
          <c:y val="9.9026309028011359E-4"/>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pivotFmt>
      <c:pivotFmt>
        <c:idx val="8"/>
      </c:pivotFmt>
    </c:pivotFmts>
    <c:plotArea>
      <c:layout>
        <c:manualLayout>
          <c:layoutTarget val="inner"/>
          <c:xMode val="edge"/>
          <c:yMode val="edge"/>
          <c:x val="0.22849906056824865"/>
          <c:y val="0.10969506961633929"/>
          <c:w val="0.71253311915245565"/>
          <c:h val="0.78219692834966315"/>
        </c:manualLayout>
      </c:layout>
      <c:barChart>
        <c:barDir val="bar"/>
        <c:grouping val="clustered"/>
        <c:varyColors val="0"/>
        <c:ser>
          <c:idx val="0"/>
          <c:order val="0"/>
          <c:tx>
            <c:v>Total</c:v>
          </c:tx>
          <c:spPr>
            <a:solidFill>
              <a:schemeClr val="accent2"/>
            </a:solidFill>
            <a:ln>
              <a:noFill/>
            </a:ln>
            <a:effectLst/>
          </c:spPr>
          <c:invertIfNegative val="0"/>
          <c:dPt>
            <c:idx val="4"/>
            <c:invertIfNegative val="0"/>
            <c:bubble3D val="0"/>
            <c:spPr>
              <a:solidFill>
                <a:schemeClr val="accent2"/>
              </a:solidFill>
              <a:ln>
                <a:noFill/>
              </a:ln>
              <a:effectLst/>
            </c:spPr>
            <c:extLst>
              <c:ext xmlns:c16="http://schemas.microsoft.com/office/drawing/2014/chart" uri="{C3380CC4-5D6E-409C-BE32-E72D297353CC}">
                <c16:uniqueId val="{00000001-03B8-40C8-A0B8-3396A1634F57}"/>
              </c:ext>
            </c:extLst>
          </c:dPt>
          <c:cat>
            <c:strLit>
              <c:ptCount val="8"/>
              <c:pt idx="0">
                <c:v>Data Manipulation</c:v>
              </c:pt>
              <c:pt idx="1">
                <c:v>EDA</c:v>
              </c:pt>
              <c:pt idx="2">
                <c:v>Project  Management</c:v>
              </c:pt>
              <c:pt idx="3">
                <c:v>BI Tools</c:v>
              </c:pt>
              <c:pt idx="4">
                <c:v>Presentation</c:v>
              </c:pt>
              <c:pt idx="5">
                <c:v>SQL</c:v>
              </c:pt>
              <c:pt idx="6">
                <c:v>Python or R</c:v>
              </c:pt>
              <c:pt idx="7">
                <c:v>Spreadsheets</c:v>
              </c:pt>
            </c:strLit>
          </c:cat>
          <c:val>
            <c:numLit>
              <c:formatCode>General</c:formatCode>
              <c:ptCount val="8"/>
              <c:pt idx="0">
                <c:v>1</c:v>
              </c:pt>
              <c:pt idx="1">
                <c:v>1</c:v>
              </c:pt>
              <c:pt idx="2">
                <c:v>4</c:v>
              </c:pt>
              <c:pt idx="3">
                <c:v>4</c:v>
              </c:pt>
              <c:pt idx="4">
                <c:v>5</c:v>
              </c:pt>
              <c:pt idx="5">
                <c:v>5</c:v>
              </c:pt>
              <c:pt idx="6">
                <c:v>5</c:v>
              </c:pt>
              <c:pt idx="7">
                <c:v>8</c:v>
              </c:pt>
            </c:numLit>
          </c:val>
          <c:extLst>
            <c:ext xmlns:c16="http://schemas.microsoft.com/office/drawing/2014/chart" uri="{C3380CC4-5D6E-409C-BE32-E72D297353CC}">
              <c16:uniqueId val="{00000002-DC43-4C39-A67F-922AAF3048A0}"/>
            </c:ext>
          </c:extLst>
        </c:ser>
        <c:dLbls>
          <c:showLegendKey val="0"/>
          <c:showVal val="0"/>
          <c:showCatName val="0"/>
          <c:showSerName val="0"/>
          <c:showPercent val="0"/>
          <c:showBubbleSize val="0"/>
        </c:dLbls>
        <c:gapWidth val="150"/>
        <c:axId val="26245983"/>
        <c:axId val="558998240"/>
      </c:barChart>
      <c:catAx>
        <c:axId val="26245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998240"/>
        <c:crosses val="autoZero"/>
        <c:auto val="1"/>
        <c:lblAlgn val="ctr"/>
        <c:lblOffset val="100"/>
        <c:noMultiLvlLbl val="0"/>
      </c:catAx>
      <c:valAx>
        <c:axId val="558998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Number</a:t>
                </a:r>
                <a:r>
                  <a:rPr lang="en-ZA" baseline="0"/>
                  <a:t> of Respondents</a:t>
                </a:r>
                <a:endParaRPr lang="en-ZA"/>
              </a:p>
            </c:rich>
          </c:tx>
          <c:layout>
            <c:manualLayout>
              <c:xMode val="edge"/>
              <c:yMode val="edge"/>
              <c:x val="0.38548809814073781"/>
              <c:y val="0.9502797761790566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4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[Team_Formation_Dashboard.xlsx]teams!PivotTable2</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7835384341894"/>
          <c:y val="0.112288"/>
          <c:w val="0.76489529485054919"/>
          <c:h val="0.80707754330708659"/>
        </c:manualLayout>
      </c:layout>
      <c:barChart>
        <c:barDir val="bar"/>
        <c:grouping val="clustered"/>
        <c:varyColors val="0"/>
        <c:ser>
          <c:idx val="0"/>
          <c:order val="0"/>
          <c:tx>
            <c:strRef>
              <c:f>teams!$B$3</c:f>
              <c:strCache>
                <c:ptCount val="1"/>
                <c:pt idx="0">
                  <c:v>Total</c:v>
                </c:pt>
              </c:strCache>
            </c:strRef>
          </c:tx>
          <c:spPr>
            <a:solidFill>
              <a:schemeClr val="accent3"/>
            </a:solidFill>
            <a:ln>
              <a:noFill/>
            </a:ln>
            <a:effectLst/>
          </c:spPr>
          <c:invertIfNegative val="0"/>
          <c:cat>
            <c:strRef>
              <c:f>teams!$A$4:$A$11</c:f>
              <c:strCache>
                <c:ptCount val="8"/>
                <c:pt idx="0">
                  <c:v>EDA</c:v>
                </c:pt>
                <c:pt idx="1">
                  <c:v>Python or R</c:v>
                </c:pt>
                <c:pt idx="2">
                  <c:v>BI Tools</c:v>
                </c:pt>
                <c:pt idx="3">
                  <c:v>Data Manipulation</c:v>
                </c:pt>
                <c:pt idx="4">
                  <c:v>Project  Management</c:v>
                </c:pt>
                <c:pt idx="5">
                  <c:v>Presentation</c:v>
                </c:pt>
                <c:pt idx="6">
                  <c:v>Spreadsheets</c:v>
                </c:pt>
                <c:pt idx="7">
                  <c:v>SQL</c:v>
                </c:pt>
              </c:strCache>
            </c:strRef>
          </c:cat>
          <c:val>
            <c:numRef>
              <c:f>teams!$B$4:$B$11</c:f>
              <c:numCache>
                <c:formatCode>General</c:formatCode>
                <c:ptCount val="8"/>
                <c:pt idx="0">
                  <c:v>1</c:v>
                </c:pt>
                <c:pt idx="1">
                  <c:v>1</c:v>
                </c:pt>
                <c:pt idx="2">
                  <c:v>1</c:v>
                </c:pt>
                <c:pt idx="3">
                  <c:v>1</c:v>
                </c:pt>
                <c:pt idx="4">
                  <c:v>1</c:v>
                </c:pt>
                <c:pt idx="5">
                  <c:v>2</c:v>
                </c:pt>
                <c:pt idx="6">
                  <c:v>2</c:v>
                </c:pt>
                <c:pt idx="7">
                  <c:v>2</c:v>
                </c:pt>
              </c:numCache>
            </c:numRef>
          </c:val>
          <c:extLst>
            <c:ext xmlns:c16="http://schemas.microsoft.com/office/drawing/2014/chart" uri="{C3380CC4-5D6E-409C-BE32-E72D297353CC}">
              <c16:uniqueId val="{00000000-CBDD-49AC-BE78-293672E48A22}"/>
            </c:ext>
          </c:extLst>
        </c:ser>
        <c:dLbls>
          <c:showLegendKey val="0"/>
          <c:showVal val="0"/>
          <c:showCatName val="0"/>
          <c:showSerName val="0"/>
          <c:showPercent val="0"/>
          <c:showBubbleSize val="0"/>
        </c:dLbls>
        <c:gapWidth val="182"/>
        <c:axId val="1816494223"/>
        <c:axId val="120486592"/>
      </c:barChart>
      <c:catAx>
        <c:axId val="1816494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86592"/>
        <c:crosses val="autoZero"/>
        <c:auto val="1"/>
        <c:lblAlgn val="ctr"/>
        <c:lblOffset val="100"/>
        <c:noMultiLvlLbl val="0"/>
      </c:catAx>
      <c:valAx>
        <c:axId val="120486592"/>
        <c:scaling>
          <c:orientation val="minMax"/>
          <c:max val="3"/>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494223"/>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[Team_Formation_Dashboard.xlsx]proficiency distribution!PivotTable3</c:name>
    <c:fmtId val="2"/>
  </c:pivotSource>
  <c:chart>
    <c:title>
      <c:layout>
        <c:manualLayout>
          <c:xMode val="edge"/>
          <c:yMode val="edge"/>
          <c:x val="0.29428605601514995"/>
          <c:y val="0.2740000186643481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0.2077792507579117"/>
          <c:y val="0.45309779246766341"/>
          <c:w val="0.26800316962544107"/>
          <c:h val="0.4818775870792309"/>
        </c:manualLayout>
      </c:layout>
      <c:doughnutChart>
        <c:varyColors val="1"/>
        <c:ser>
          <c:idx val="0"/>
          <c:order val="0"/>
          <c:tx>
            <c:strRef>
              <c:f>'proficiency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2F2-4767-80A3-5141A7BB9B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2F2-4767-80A3-5141A7BB9B4E}"/>
              </c:ext>
            </c:extLst>
          </c:dPt>
          <c:cat>
            <c:strRef>
              <c:f>'proficiency distribution'!$A$4:$A$5</c:f>
              <c:strCache>
                <c:ptCount val="1"/>
                <c:pt idx="0">
                  <c:v>Yes</c:v>
                </c:pt>
              </c:strCache>
            </c:strRef>
          </c:cat>
          <c:val>
            <c:numRef>
              <c:f>'proficiency distribution'!$B$4:$B$5</c:f>
              <c:numCache>
                <c:formatCode>General</c:formatCode>
                <c:ptCount val="1"/>
                <c:pt idx="0">
                  <c:v>1</c:v>
                </c:pt>
              </c:numCache>
            </c:numRef>
          </c:val>
          <c:extLst>
            <c:ext xmlns:c16="http://schemas.microsoft.com/office/drawing/2014/chart" uri="{C3380CC4-5D6E-409C-BE32-E72D297353CC}">
              <c16:uniqueId val="{00000004-02F2-4767-80A3-5141A7BB9B4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5596172529723009"/>
          <c:y val="0.73745739304799762"/>
          <c:w val="0.19417528256496322"/>
          <c:h val="0.199508754585352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[Team_Formation_Dashboard.xlsx]teams!PivotTable2</c:name>
    <c:fmtId val="15"/>
  </c:pivotSource>
  <c:chart>
    <c:title>
      <c:tx>
        <c:rich>
          <a:bodyPr rot="0" spcFirstLastPara="1" vertOverflow="ellipsis" vert="horz" wrap="square" anchor="ctr" anchorCtr="1"/>
          <a:lstStyle/>
          <a:p>
            <a:pPr>
              <a:defRPr sz="1500" b="0" i="0" u="none" strike="noStrike" kern="1200" spc="0" baseline="0">
                <a:solidFill>
                  <a:schemeClr val="tx1"/>
                </a:solidFill>
                <a:latin typeface="+mn-lt"/>
                <a:ea typeface="+mn-ea"/>
                <a:cs typeface="+mn-cs"/>
              </a:defRPr>
            </a:pPr>
            <a:r>
              <a:rPr lang="en-US" sz="1500" baseline="0">
                <a:solidFill>
                  <a:schemeClr val="tx1"/>
                </a:solidFill>
              </a:rPr>
              <a:t>Skill Distribution</a:t>
            </a:r>
          </a:p>
        </c:rich>
      </c:tx>
      <c:overlay val="0"/>
      <c:spPr>
        <a:noFill/>
        <a:ln>
          <a:noFill/>
        </a:ln>
        <a:effectLst/>
      </c:spPr>
      <c:txPr>
        <a:bodyPr rot="0" spcFirstLastPara="1" vertOverflow="ellipsis" vert="horz" wrap="square" anchor="ctr" anchorCtr="1"/>
        <a:lstStyle/>
        <a:p>
          <a:pPr>
            <a:defRPr sz="15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7835384341894"/>
          <c:y val="0.112288"/>
          <c:w val="0.76489529485054919"/>
          <c:h val="0.80707754330708659"/>
        </c:manualLayout>
      </c:layout>
      <c:barChart>
        <c:barDir val="bar"/>
        <c:grouping val="clustered"/>
        <c:varyColors val="0"/>
        <c:ser>
          <c:idx val="0"/>
          <c:order val="0"/>
          <c:tx>
            <c:strRef>
              <c:f>teams!$B$3</c:f>
              <c:strCache>
                <c:ptCount val="1"/>
                <c:pt idx="0">
                  <c:v>Total</c:v>
                </c:pt>
              </c:strCache>
            </c:strRef>
          </c:tx>
          <c:spPr>
            <a:solidFill>
              <a:schemeClr val="accent3"/>
            </a:solidFill>
            <a:ln>
              <a:noFill/>
            </a:ln>
            <a:effectLst/>
          </c:spPr>
          <c:invertIfNegative val="0"/>
          <c:cat>
            <c:strRef>
              <c:f>teams!$A$4:$A$11</c:f>
              <c:strCache>
                <c:ptCount val="8"/>
                <c:pt idx="0">
                  <c:v>EDA</c:v>
                </c:pt>
                <c:pt idx="1">
                  <c:v>Python or R</c:v>
                </c:pt>
                <c:pt idx="2">
                  <c:v>BI Tools</c:v>
                </c:pt>
                <c:pt idx="3">
                  <c:v>Data Manipulation</c:v>
                </c:pt>
                <c:pt idx="4">
                  <c:v>Project  Management</c:v>
                </c:pt>
                <c:pt idx="5">
                  <c:v>Presentation</c:v>
                </c:pt>
                <c:pt idx="6">
                  <c:v>Spreadsheets</c:v>
                </c:pt>
                <c:pt idx="7">
                  <c:v>SQL</c:v>
                </c:pt>
              </c:strCache>
            </c:strRef>
          </c:cat>
          <c:val>
            <c:numRef>
              <c:f>teams!$B$4:$B$11</c:f>
              <c:numCache>
                <c:formatCode>General</c:formatCode>
                <c:ptCount val="8"/>
                <c:pt idx="0">
                  <c:v>1</c:v>
                </c:pt>
                <c:pt idx="1">
                  <c:v>1</c:v>
                </c:pt>
                <c:pt idx="2">
                  <c:v>1</c:v>
                </c:pt>
                <c:pt idx="3">
                  <c:v>1</c:v>
                </c:pt>
                <c:pt idx="4">
                  <c:v>1</c:v>
                </c:pt>
                <c:pt idx="5">
                  <c:v>2</c:v>
                </c:pt>
                <c:pt idx="6">
                  <c:v>2</c:v>
                </c:pt>
                <c:pt idx="7">
                  <c:v>2</c:v>
                </c:pt>
              </c:numCache>
            </c:numRef>
          </c:val>
          <c:extLst>
            <c:ext xmlns:c16="http://schemas.microsoft.com/office/drawing/2014/chart" uri="{C3380CC4-5D6E-409C-BE32-E72D297353CC}">
              <c16:uniqueId val="{00000000-6329-42C1-8166-6997CA611085}"/>
            </c:ext>
          </c:extLst>
        </c:ser>
        <c:dLbls>
          <c:showLegendKey val="0"/>
          <c:showVal val="0"/>
          <c:showCatName val="0"/>
          <c:showSerName val="0"/>
          <c:showPercent val="0"/>
          <c:showBubbleSize val="0"/>
        </c:dLbls>
        <c:gapWidth val="182"/>
        <c:axId val="1816494223"/>
        <c:axId val="120486592"/>
      </c:barChart>
      <c:catAx>
        <c:axId val="181649422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20486592"/>
        <c:crosses val="autoZero"/>
        <c:auto val="1"/>
        <c:lblAlgn val="ctr"/>
        <c:lblOffset val="100"/>
        <c:noMultiLvlLbl val="0"/>
      </c:catAx>
      <c:valAx>
        <c:axId val="120486592"/>
        <c:scaling>
          <c:orientation val="minMax"/>
          <c:max val="3"/>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16494223"/>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nchor="ctr" anchorCtr="1"/>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[Team_Formation_Dashboard.xlsx]proficiency distribution!PivotTable3</c:name>
    <c:fmtId val="7"/>
  </c:pivotSource>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US" sz="1500" baseline="0"/>
              <a:t>Proficiency Distribution</a:t>
            </a:r>
          </a:p>
        </c:rich>
      </c:tx>
      <c:layout>
        <c:manualLayout>
          <c:xMode val="edge"/>
          <c:yMode val="edge"/>
          <c:x val="0.10321089897523041"/>
          <c:y val="0.14719669754548156"/>
        </c:manualLayout>
      </c:layout>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5.3299916293977123E-2"/>
          <c:y val="0.30629306462687111"/>
          <c:w val="0.40272170200285851"/>
          <c:h val="0.64444228138158921"/>
        </c:manualLayout>
      </c:layout>
      <c:doughnutChart>
        <c:varyColors val="1"/>
        <c:ser>
          <c:idx val="0"/>
          <c:order val="0"/>
          <c:tx>
            <c:strRef>
              <c:f>'proficiency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B7C-40B8-B920-19566A72FF99}"/>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9B7C-40B8-B920-19566A72FF99}"/>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'proficiency distribution'!$A$4:$A$5</c:f>
              <c:strCache>
                <c:ptCount val="1"/>
                <c:pt idx="0">
                  <c:v>Yes</c:v>
                </c:pt>
              </c:strCache>
            </c:strRef>
          </c:cat>
          <c:val>
            <c:numRef>
              <c:f>'proficiency distribution'!$B$4:$B$5</c:f>
              <c:numCache>
                <c:formatCode>General</c:formatCode>
                <c:ptCount val="1"/>
                <c:pt idx="0">
                  <c:v>1</c:v>
                </c:pt>
              </c:numCache>
            </c:numRef>
          </c:val>
          <c:extLst>
            <c:ext xmlns:c16="http://schemas.microsoft.com/office/drawing/2014/chart" uri="{C3380CC4-5D6E-409C-BE32-E72D297353CC}">
              <c16:uniqueId val="{00000004-9B7C-40B8-B920-19566A72FF9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40237544030642747"/>
          <c:y val="0.78224352357734872"/>
          <c:w val="0.19417528256496322"/>
          <c:h val="0.19950875458535283"/>
        </c:manualLayout>
      </c:layout>
      <c:overlay val="0"/>
      <c:spPr>
        <a:noFill/>
        <a:ln>
          <a:noFill/>
        </a:ln>
        <a:effectLst/>
      </c:spPr>
      <c:txPr>
        <a:bodyPr rot="0" spcFirstLastPara="1" vertOverflow="ellipsis" vert="horz" wrap="square" anchor="ctr" anchorCtr="1"/>
        <a:lstStyle/>
        <a:p>
          <a:pPr>
            <a:defRPr sz="1200" b="0" i="0" u="none" strike="noStrike" kern="1200" spc="-1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[Team_Formation_Dashboard.xlsx]teams!PivotTable2</c:name>
    <c:fmtId val="19"/>
  </c:pivotSource>
  <c:chart>
    <c:title>
      <c:tx>
        <c:rich>
          <a:bodyPr rot="0" spcFirstLastPara="1" vertOverflow="ellipsis" vert="horz" wrap="square" anchor="ctr" anchorCtr="1"/>
          <a:lstStyle/>
          <a:p>
            <a:pPr>
              <a:defRPr sz="1300" b="0" i="0" u="none" strike="noStrike" kern="1200" spc="0" baseline="0">
                <a:solidFill>
                  <a:schemeClr val="tx1"/>
                </a:solidFill>
                <a:latin typeface="+mn-lt"/>
                <a:ea typeface="+mn-ea"/>
                <a:cs typeface="+mn-cs"/>
              </a:defRPr>
            </a:pPr>
            <a:r>
              <a:rPr lang="en-US" sz="1300" baseline="0">
                <a:solidFill>
                  <a:schemeClr val="tx1"/>
                </a:solidFill>
              </a:rPr>
              <a:t>Skill Distribution</a:t>
            </a:r>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4629037369042"/>
          <c:y val="0.11178597011708473"/>
          <c:w val="0.62958881937035549"/>
          <c:h val="0.79198243728961826"/>
        </c:manualLayout>
      </c:layout>
      <c:barChart>
        <c:barDir val="bar"/>
        <c:grouping val="clustered"/>
        <c:varyColors val="0"/>
        <c:ser>
          <c:idx val="0"/>
          <c:order val="0"/>
          <c:tx>
            <c:strRef>
              <c:f>teams!$B$3</c:f>
              <c:strCache>
                <c:ptCount val="1"/>
                <c:pt idx="0">
                  <c:v>Total</c:v>
                </c:pt>
              </c:strCache>
            </c:strRef>
          </c:tx>
          <c:spPr>
            <a:solidFill>
              <a:schemeClr val="accent3"/>
            </a:solidFill>
            <a:ln>
              <a:noFill/>
            </a:ln>
            <a:effectLst/>
          </c:spPr>
          <c:invertIfNegative val="0"/>
          <c:cat>
            <c:strRef>
              <c:f>teams!$A$4:$A$11</c:f>
              <c:strCache>
                <c:ptCount val="8"/>
                <c:pt idx="0">
                  <c:v>EDA</c:v>
                </c:pt>
                <c:pt idx="1">
                  <c:v>Python or R</c:v>
                </c:pt>
                <c:pt idx="2">
                  <c:v>BI Tools</c:v>
                </c:pt>
                <c:pt idx="3">
                  <c:v>Data Manipulation</c:v>
                </c:pt>
                <c:pt idx="4">
                  <c:v>Project  Management</c:v>
                </c:pt>
                <c:pt idx="5">
                  <c:v>Presentation</c:v>
                </c:pt>
                <c:pt idx="6">
                  <c:v>Spreadsheets</c:v>
                </c:pt>
                <c:pt idx="7">
                  <c:v>SQL</c:v>
                </c:pt>
              </c:strCache>
            </c:strRef>
          </c:cat>
          <c:val>
            <c:numRef>
              <c:f>teams!$B$4:$B$11</c:f>
              <c:numCache>
                <c:formatCode>General</c:formatCode>
                <c:ptCount val="8"/>
                <c:pt idx="0">
                  <c:v>1</c:v>
                </c:pt>
                <c:pt idx="1">
                  <c:v>1</c:v>
                </c:pt>
                <c:pt idx="2">
                  <c:v>1</c:v>
                </c:pt>
                <c:pt idx="3">
                  <c:v>1</c:v>
                </c:pt>
                <c:pt idx="4">
                  <c:v>1</c:v>
                </c:pt>
                <c:pt idx="5">
                  <c:v>2</c:v>
                </c:pt>
                <c:pt idx="6">
                  <c:v>2</c:v>
                </c:pt>
                <c:pt idx="7">
                  <c:v>2</c:v>
                </c:pt>
              </c:numCache>
            </c:numRef>
          </c:val>
          <c:extLst>
            <c:ext xmlns:c16="http://schemas.microsoft.com/office/drawing/2014/chart" uri="{C3380CC4-5D6E-409C-BE32-E72D297353CC}">
              <c16:uniqueId val="{00000000-42AE-4F29-8D44-1326B3BC8F01}"/>
            </c:ext>
          </c:extLst>
        </c:ser>
        <c:dLbls>
          <c:showLegendKey val="0"/>
          <c:showVal val="0"/>
          <c:showCatName val="0"/>
          <c:showSerName val="0"/>
          <c:showPercent val="0"/>
          <c:showBubbleSize val="0"/>
        </c:dLbls>
        <c:gapWidth val="182"/>
        <c:axId val="1816494223"/>
        <c:axId val="120486592"/>
      </c:barChart>
      <c:catAx>
        <c:axId val="181649422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20486592"/>
        <c:crosses val="autoZero"/>
        <c:auto val="1"/>
        <c:lblAlgn val="ctr"/>
        <c:lblOffset val="100"/>
        <c:noMultiLvlLbl val="0"/>
      </c:catAx>
      <c:valAx>
        <c:axId val="120486592"/>
        <c:scaling>
          <c:orientation val="minMax"/>
          <c:max val="3"/>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50" b="0" i="0" u="none" strike="noStrike" kern="1200" baseline="0">
                <a:solidFill>
                  <a:schemeClr val="tx1">
                    <a:lumMod val="65000"/>
                    <a:lumOff val="35000"/>
                  </a:schemeClr>
                </a:solidFill>
                <a:latin typeface="+mn-lt"/>
                <a:ea typeface="+mn-ea"/>
                <a:cs typeface="+mn-cs"/>
              </a:defRPr>
            </a:pPr>
            <a:endParaRPr lang="en-US"/>
          </a:p>
        </c:txPr>
        <c:crossAx val="1816494223"/>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nchor="ctr" anchorCtr="1"/>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[Team_Formation_Dashboard.xlsx]proficiency distribution!PivotTable3</c:name>
    <c:fmtId val="14"/>
  </c:pivotSource>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US" sz="1500" baseline="0"/>
              <a:t>Proficiency Distribution</a:t>
            </a:r>
          </a:p>
        </c:rich>
      </c:tx>
      <c:layout>
        <c:manualLayout>
          <c:xMode val="edge"/>
          <c:yMode val="edge"/>
          <c:x val="0.10321089897523041"/>
          <c:y val="0.14719669754548156"/>
        </c:manualLayout>
      </c:layout>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manualLayout>
          <c:layoutTarget val="inner"/>
          <c:xMode val="edge"/>
          <c:yMode val="edge"/>
          <c:x val="5.3299916293977123E-2"/>
          <c:y val="0.30629306462687111"/>
          <c:w val="0.40272170200285851"/>
          <c:h val="0.64444228138158921"/>
        </c:manualLayout>
      </c:layout>
      <c:doughnutChart>
        <c:varyColors val="1"/>
        <c:ser>
          <c:idx val="0"/>
          <c:order val="0"/>
          <c:tx>
            <c:strRef>
              <c:f>'proficiency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6D-4B2A-B0B9-E732112BED1D}"/>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966D-4B2A-B0B9-E732112BED1D}"/>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'proficiency distribution'!$A$4:$A$5</c:f>
              <c:strCache>
                <c:ptCount val="1"/>
                <c:pt idx="0">
                  <c:v>Yes</c:v>
                </c:pt>
              </c:strCache>
            </c:strRef>
          </c:cat>
          <c:val>
            <c:numRef>
              <c:f>'proficiency distribution'!$B$4:$B$5</c:f>
              <c:numCache>
                <c:formatCode>General</c:formatCode>
                <c:ptCount val="1"/>
                <c:pt idx="0">
                  <c:v>1</c:v>
                </c:pt>
              </c:numCache>
            </c:numRef>
          </c:val>
          <c:extLst>
            <c:ext xmlns:c16="http://schemas.microsoft.com/office/drawing/2014/chart" uri="{C3380CC4-5D6E-409C-BE32-E72D297353CC}">
              <c16:uniqueId val="{00000004-966D-4B2A-B0B9-E732112BED1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40237544030642747"/>
          <c:y val="0.78224352357734872"/>
          <c:w val="0.30148244268805791"/>
          <c:h val="0.19950875458535283"/>
        </c:manualLayout>
      </c:layout>
      <c:overlay val="0"/>
      <c:spPr>
        <a:noFill/>
        <a:ln>
          <a:noFill/>
        </a:ln>
        <a:effectLst/>
      </c:spPr>
      <c:txPr>
        <a:bodyPr rot="0" spcFirstLastPara="1" vertOverflow="ellipsis" vert="horz" wrap="square" anchor="ctr" anchorCtr="1"/>
        <a:lstStyle/>
        <a:p>
          <a:pPr>
            <a:defRPr sz="900" b="0" i="0" u="none" strike="noStrike" kern="1200" spc="-1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ZA" sz="1600"/>
              <a:t>Cohort</a:t>
            </a:r>
            <a:r>
              <a:rPr lang="en-ZA" sz="1600" baseline="0"/>
              <a:t> Skill Distribution</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2">
                <a:tint val="77000"/>
              </a:schemeClr>
            </a:solidFill>
            <a:ln>
              <a:noFill/>
            </a:ln>
            <a:effectLst/>
          </c:spPr>
          <c:invertIfNegative val="0"/>
          <c:cat>
            <c:strRef>
              <c:f>Sheet2!$A$2:$A$9</c:f>
              <c:strCache>
                <c:ptCount val="8"/>
                <c:pt idx="0">
                  <c:v>Data Manipulation</c:v>
                </c:pt>
                <c:pt idx="1">
                  <c:v>EDA</c:v>
                </c:pt>
                <c:pt idx="2">
                  <c:v>Project Management</c:v>
                </c:pt>
                <c:pt idx="3">
                  <c:v>BI Tools</c:v>
                </c:pt>
                <c:pt idx="4">
                  <c:v>Presentation</c:v>
                </c:pt>
                <c:pt idx="5">
                  <c:v>SQL</c:v>
                </c:pt>
                <c:pt idx="6">
                  <c:v>Python or R</c:v>
                </c:pt>
                <c:pt idx="7">
                  <c:v>Spreadsheets</c:v>
                </c:pt>
              </c:strCache>
            </c:strRef>
          </c:cat>
          <c:val>
            <c:numRef>
              <c:f>Sheet2!$C$2:$C$9</c:f>
              <c:numCache>
                <c:formatCode>General</c:formatCode>
                <c:ptCount val="8"/>
                <c:pt idx="0">
                  <c:v>1</c:v>
                </c:pt>
                <c:pt idx="1">
                  <c:v>1</c:v>
                </c:pt>
                <c:pt idx="2">
                  <c:v>4</c:v>
                </c:pt>
                <c:pt idx="3">
                  <c:v>4</c:v>
                </c:pt>
                <c:pt idx="4">
                  <c:v>5</c:v>
                </c:pt>
                <c:pt idx="5">
                  <c:v>5</c:v>
                </c:pt>
                <c:pt idx="6">
                  <c:v>5</c:v>
                </c:pt>
                <c:pt idx="7">
                  <c:v>#N/A</c:v>
                </c:pt>
              </c:numCache>
            </c:numRef>
          </c:val>
          <c:extLst>
            <c:ext xmlns:c16="http://schemas.microsoft.com/office/drawing/2014/chart" uri="{C3380CC4-5D6E-409C-BE32-E72D297353CC}">
              <c16:uniqueId val="{00000000-6757-4442-8256-55E5EFAF86E3}"/>
            </c:ext>
          </c:extLst>
        </c:ser>
        <c:ser>
          <c:idx val="1"/>
          <c:order val="1"/>
          <c:spPr>
            <a:solidFill>
              <a:schemeClr val="accent2">
                <a:shade val="76000"/>
              </a:schemeClr>
            </a:solidFill>
            <a:ln>
              <a:noFill/>
            </a:ln>
            <a:effectLst/>
          </c:spPr>
          <c:invertIfNegative val="0"/>
          <c:cat>
            <c:strRef>
              <c:f>Sheet2!$A$2:$A$9</c:f>
              <c:strCache>
                <c:ptCount val="8"/>
                <c:pt idx="0">
                  <c:v>Data Manipulation</c:v>
                </c:pt>
                <c:pt idx="1">
                  <c:v>EDA</c:v>
                </c:pt>
                <c:pt idx="2">
                  <c:v>Project Management</c:v>
                </c:pt>
                <c:pt idx="3">
                  <c:v>BI Tools</c:v>
                </c:pt>
                <c:pt idx="4">
                  <c:v>Presentation</c:v>
                </c:pt>
                <c:pt idx="5">
                  <c:v>SQL</c:v>
                </c:pt>
                <c:pt idx="6">
                  <c:v>Python or R</c:v>
                </c:pt>
                <c:pt idx="7">
                  <c:v>Spreadsheets</c:v>
                </c:pt>
              </c:strCache>
            </c:strRef>
          </c:cat>
          <c:val>
            <c:numRef>
              <c:f>Sheet2!$D$2:$D$9</c:f>
              <c:numCache>
                <c:formatCode>General</c:formatCode>
                <c:ptCount val="8"/>
                <c:pt idx="0">
                  <c:v>#N/A</c:v>
                </c:pt>
                <c:pt idx="1">
                  <c:v>#N/A</c:v>
                </c:pt>
                <c:pt idx="2">
                  <c:v>#N/A</c:v>
                </c:pt>
                <c:pt idx="3">
                  <c:v>#N/A</c:v>
                </c:pt>
                <c:pt idx="4">
                  <c:v>#N/A</c:v>
                </c:pt>
                <c:pt idx="5">
                  <c:v>#N/A</c:v>
                </c:pt>
                <c:pt idx="6">
                  <c:v>#N/A</c:v>
                </c:pt>
                <c:pt idx="7">
                  <c:v>8</c:v>
                </c:pt>
              </c:numCache>
            </c:numRef>
          </c:val>
          <c:extLst>
            <c:ext xmlns:c16="http://schemas.microsoft.com/office/drawing/2014/chart" uri="{C3380CC4-5D6E-409C-BE32-E72D297353CC}">
              <c16:uniqueId val="{00000001-6757-4442-8256-55E5EFAF86E3}"/>
            </c:ext>
          </c:extLst>
        </c:ser>
        <c:dLbls>
          <c:showLegendKey val="0"/>
          <c:showVal val="0"/>
          <c:showCatName val="0"/>
          <c:showSerName val="0"/>
          <c:showPercent val="0"/>
          <c:showBubbleSize val="0"/>
        </c:dLbls>
        <c:gapWidth val="182"/>
        <c:axId val="1631778368"/>
        <c:axId val="1757185856"/>
      </c:barChart>
      <c:catAx>
        <c:axId val="163177836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57185856"/>
        <c:crosses val="autoZero"/>
        <c:auto val="1"/>
        <c:lblAlgn val="ctr"/>
        <c:lblOffset val="100"/>
        <c:noMultiLvlLbl val="0"/>
      </c:catAx>
      <c:valAx>
        <c:axId val="1757185856"/>
        <c:scaling>
          <c:orientation val="minMax"/>
          <c:max val="1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778368"/>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2.svg"/><Relationship Id="rId7" Type="http://schemas.openxmlformats.org/officeDocument/2006/relationships/image" Target="../media/image6.svg"/><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5.png"/><Relationship Id="rId5" Type="http://schemas.openxmlformats.org/officeDocument/2006/relationships/image" Target="../media/image4.svg"/><Relationship Id="rId4" Type="http://schemas.openxmlformats.org/officeDocument/2006/relationships/image" Target="../media/image3.png"/><Relationship Id="rId9" Type="http://schemas.openxmlformats.org/officeDocument/2006/relationships/image" Target="../media/image8.svg"/></Relationships>
</file>

<file path=xl/drawings/_rels/drawing2.xml.rels><?xml version="1.0" encoding="UTF-8" standalone="yes"?>
<Relationships xmlns="http://schemas.openxmlformats.org/package/2006/relationships"><Relationship Id="rId8" Type="http://schemas.openxmlformats.org/officeDocument/2006/relationships/image" Target="../media/image14.svg"/><Relationship Id="rId3" Type="http://schemas.openxmlformats.org/officeDocument/2006/relationships/chart" Target="../charts/chart2.xml"/><Relationship Id="rId7" Type="http://schemas.openxmlformats.org/officeDocument/2006/relationships/image" Target="../media/image13.png"/><Relationship Id="rId12" Type="http://schemas.openxmlformats.org/officeDocument/2006/relationships/image" Target="../media/image18.svg"/><Relationship Id="rId2" Type="http://schemas.openxmlformats.org/officeDocument/2006/relationships/image" Target="../media/image10.svg"/><Relationship Id="rId1" Type="http://schemas.openxmlformats.org/officeDocument/2006/relationships/image" Target="../media/image9.png"/><Relationship Id="rId6" Type="http://schemas.openxmlformats.org/officeDocument/2006/relationships/image" Target="../media/image12.svg"/><Relationship Id="rId11" Type="http://schemas.openxmlformats.org/officeDocument/2006/relationships/image" Target="../media/image17.png"/><Relationship Id="rId5" Type="http://schemas.openxmlformats.org/officeDocument/2006/relationships/image" Target="../media/image11.png"/><Relationship Id="rId10" Type="http://schemas.openxmlformats.org/officeDocument/2006/relationships/image" Target="../media/image16.svg"/><Relationship Id="rId4" Type="http://schemas.openxmlformats.org/officeDocument/2006/relationships/chart" Target="../charts/chart3.xml"/><Relationship Id="rId9" Type="http://schemas.openxmlformats.org/officeDocument/2006/relationships/image" Target="../media/image15.png"/></Relationships>
</file>

<file path=xl/drawings/_rels/drawing3.xml.rels><?xml version="1.0" encoding="UTF-8" standalone="yes"?>
<Relationships xmlns="http://schemas.openxmlformats.org/package/2006/relationships"><Relationship Id="rId8" Type="http://schemas.openxmlformats.org/officeDocument/2006/relationships/image" Target="../media/image16.svg"/><Relationship Id="rId3" Type="http://schemas.openxmlformats.org/officeDocument/2006/relationships/image" Target="../media/image11.png"/><Relationship Id="rId7" Type="http://schemas.openxmlformats.org/officeDocument/2006/relationships/image" Target="../media/image15.png"/><Relationship Id="rId12" Type="http://schemas.openxmlformats.org/officeDocument/2006/relationships/image" Target="../media/image10.sv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14.svg"/><Relationship Id="rId11" Type="http://schemas.openxmlformats.org/officeDocument/2006/relationships/image" Target="../media/image9.png"/><Relationship Id="rId5" Type="http://schemas.openxmlformats.org/officeDocument/2006/relationships/image" Target="../media/image13.png"/><Relationship Id="rId10" Type="http://schemas.openxmlformats.org/officeDocument/2006/relationships/image" Target="../media/image18.svg"/><Relationship Id="rId4" Type="http://schemas.openxmlformats.org/officeDocument/2006/relationships/image" Target="../media/image12.svg"/><Relationship Id="rId9" Type="http://schemas.openxmlformats.org/officeDocument/2006/relationships/image" Target="../media/image17.png"/></Relationships>
</file>

<file path=xl/drawings/_rels/drawing4.xml.rels><?xml version="1.0" encoding="UTF-8" standalone="yes"?>
<Relationships xmlns="http://schemas.openxmlformats.org/package/2006/relationships"><Relationship Id="rId8" Type="http://schemas.openxmlformats.org/officeDocument/2006/relationships/image" Target="../media/image18.svg"/><Relationship Id="rId3" Type="http://schemas.openxmlformats.org/officeDocument/2006/relationships/image" Target="../media/image11.png"/><Relationship Id="rId7" Type="http://schemas.openxmlformats.org/officeDocument/2006/relationships/image" Target="../media/image17.png"/><Relationship Id="rId12" Type="http://schemas.openxmlformats.org/officeDocument/2006/relationships/image" Target="../media/image10.sv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4.svg"/><Relationship Id="rId11" Type="http://schemas.openxmlformats.org/officeDocument/2006/relationships/image" Target="../media/image9.png"/><Relationship Id="rId5" Type="http://schemas.openxmlformats.org/officeDocument/2006/relationships/image" Target="../media/image13.png"/><Relationship Id="rId10" Type="http://schemas.openxmlformats.org/officeDocument/2006/relationships/image" Target="../media/image16.svg"/><Relationship Id="rId4" Type="http://schemas.openxmlformats.org/officeDocument/2006/relationships/image" Target="../media/image12.svg"/><Relationship Id="rId9" Type="http://schemas.openxmlformats.org/officeDocument/2006/relationships/image" Target="../media/image15.png"/></Relationships>
</file>

<file path=xl/drawings/_rels/drawing5.xml.rels><?xml version="1.0" encoding="UTF-8" standalone="yes"?>
<Relationships xmlns="http://schemas.openxmlformats.org/package/2006/relationships"><Relationship Id="rId3" Type="http://schemas.openxmlformats.org/officeDocument/2006/relationships/image" Target="../media/image21.png"/><Relationship Id="rId7" Type="http://schemas.openxmlformats.org/officeDocument/2006/relationships/chart" Target="../charts/chart8.xml"/><Relationship Id="rId2" Type="http://schemas.openxmlformats.org/officeDocument/2006/relationships/image" Target="../media/image20.svg"/><Relationship Id="rId1" Type="http://schemas.openxmlformats.org/officeDocument/2006/relationships/image" Target="../media/image19.png"/><Relationship Id="rId6" Type="http://schemas.openxmlformats.org/officeDocument/2006/relationships/image" Target="../media/image8.svg"/><Relationship Id="rId5" Type="http://schemas.openxmlformats.org/officeDocument/2006/relationships/image" Target="../media/image7.png"/><Relationship Id="rId4" Type="http://schemas.openxmlformats.org/officeDocument/2006/relationships/image" Target="../media/image22.svg"/></Relationships>
</file>

<file path=xl/drawings/drawing1.xml><?xml version="1.0" encoding="utf-8"?>
<xdr:wsDr xmlns:xdr="http://schemas.openxmlformats.org/drawingml/2006/spreadsheetDrawing" xmlns:a="http://schemas.openxmlformats.org/drawingml/2006/main">
  <xdr:twoCellAnchor>
    <xdr:from>
      <xdr:col>6</xdr:col>
      <xdr:colOff>66675</xdr:colOff>
      <xdr:row>3</xdr:row>
      <xdr:rowOff>19050</xdr:rowOff>
    </xdr:from>
    <xdr:to>
      <xdr:col>15</xdr:col>
      <xdr:colOff>514350</xdr:colOff>
      <xdr:row>20</xdr:row>
      <xdr:rowOff>142875</xdr:rowOff>
    </xdr:to>
    <xdr:graphicFrame macro="">
      <xdr:nvGraphicFramePr>
        <xdr:cNvPr id="2" name="Chart 1">
          <a:extLst>
            <a:ext uri="{FF2B5EF4-FFF2-40B4-BE49-F238E27FC236}">
              <a16:creationId xmlns:a16="http://schemas.microsoft.com/office/drawing/2014/main" id="{B3857355-F428-4739-9F6A-123A542C35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571500</xdr:colOff>
      <xdr:row>0</xdr:row>
      <xdr:rowOff>76200</xdr:rowOff>
    </xdr:from>
    <xdr:to>
      <xdr:col>14</xdr:col>
      <xdr:colOff>447675</xdr:colOff>
      <xdr:row>1</xdr:row>
      <xdr:rowOff>200025</xdr:rowOff>
    </xdr:to>
    <xdr:sp macro="" textlink="">
      <xdr:nvSpPr>
        <xdr:cNvPr id="11" name="TextBox 10">
          <a:extLst>
            <a:ext uri="{FF2B5EF4-FFF2-40B4-BE49-F238E27FC236}">
              <a16:creationId xmlns:a16="http://schemas.microsoft.com/office/drawing/2014/main" id="{F606A2C6-D8D1-87B2-A55C-1AB174DB0440}"/>
            </a:ext>
          </a:extLst>
        </xdr:cNvPr>
        <xdr:cNvSpPr txBox="1"/>
      </xdr:nvSpPr>
      <xdr:spPr>
        <a:xfrm>
          <a:off x="9134475" y="76200"/>
          <a:ext cx="2314575" cy="714375"/>
        </a:xfrm>
        <a:prstGeom prst="rect">
          <a:avLst/>
        </a:prstGeom>
        <a:solidFill>
          <a:schemeClr val="accent1">
            <a:lumMod val="20000"/>
            <a:lumOff val="8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ZA" sz="900" baseline="0">
              <a:solidFill>
                <a:schemeClr val="dk1"/>
              </a:solidFill>
              <a:effectLst/>
              <a:latin typeface="+mn-lt"/>
              <a:ea typeface="+mn-ea"/>
              <a:cs typeface="+mn-cs"/>
            </a:rPr>
            <a:t>        HOW TO USE                                                                     Select a skill and proficiency  level to see the percentage of respondents matching your selection                                                     </a:t>
          </a:r>
          <a:endParaRPr lang="en-ZA" sz="1100"/>
        </a:p>
      </xdr:txBody>
    </xdr:sp>
    <xdr:clientData/>
  </xdr:twoCellAnchor>
  <xdr:twoCellAnchor editAs="oneCell">
    <xdr:from>
      <xdr:col>10</xdr:col>
      <xdr:colOff>590549</xdr:colOff>
      <xdr:row>0</xdr:row>
      <xdr:rowOff>76201</xdr:rowOff>
    </xdr:from>
    <xdr:to>
      <xdr:col>11</xdr:col>
      <xdr:colOff>228599</xdr:colOff>
      <xdr:row>0</xdr:row>
      <xdr:rowOff>323851</xdr:rowOff>
    </xdr:to>
    <xdr:pic>
      <xdr:nvPicPr>
        <xdr:cNvPr id="13" name="Graphic 12" descr="Information with solid fill">
          <a:extLst>
            <a:ext uri="{FF2B5EF4-FFF2-40B4-BE49-F238E27FC236}">
              <a16:creationId xmlns:a16="http://schemas.microsoft.com/office/drawing/2014/main" id="{4FB86926-75CE-C2D0-BD17-65A9B879F81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9153524" y="76201"/>
          <a:ext cx="247650" cy="247650"/>
        </a:xfrm>
        <a:prstGeom prst="rect">
          <a:avLst/>
        </a:prstGeom>
        <a:effectLst>
          <a:outerShdw blurRad="50800" dist="38100" dir="2700000" algn="tl" rotWithShape="0">
            <a:prstClr val="black">
              <a:alpha val="40000"/>
            </a:prstClr>
          </a:outerShdw>
        </a:effectLst>
      </xdr:spPr>
    </xdr:pic>
    <xdr:clientData/>
  </xdr:twoCellAnchor>
  <xdr:oneCellAnchor>
    <xdr:from>
      <xdr:col>9</xdr:col>
      <xdr:colOff>47622</xdr:colOff>
      <xdr:row>0</xdr:row>
      <xdr:rowOff>323849</xdr:rowOff>
    </xdr:from>
    <xdr:ext cx="352428" cy="276226"/>
    <xdr:sp macro="" textlink="">
      <xdr:nvSpPr>
        <xdr:cNvPr id="15" name="TextBox 14">
          <a:extLst>
            <a:ext uri="{FF2B5EF4-FFF2-40B4-BE49-F238E27FC236}">
              <a16:creationId xmlns:a16="http://schemas.microsoft.com/office/drawing/2014/main" id="{3C674FE2-1C61-62C0-013D-A4F86629BD8D}"/>
            </a:ext>
          </a:extLst>
        </xdr:cNvPr>
        <xdr:cNvSpPr txBox="1"/>
      </xdr:nvSpPr>
      <xdr:spPr>
        <a:xfrm flipH="1" flipV="1">
          <a:off x="8000997" y="323849"/>
          <a:ext cx="352428" cy="2762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ZA" sz="1100"/>
        </a:p>
      </xdr:txBody>
    </xdr:sp>
    <xdr:clientData/>
  </xdr:oneCellAnchor>
  <xdr:twoCellAnchor editAs="oneCell">
    <xdr:from>
      <xdr:col>1</xdr:col>
      <xdr:colOff>38101</xdr:colOff>
      <xdr:row>8</xdr:row>
      <xdr:rowOff>1</xdr:rowOff>
    </xdr:from>
    <xdr:to>
      <xdr:col>2</xdr:col>
      <xdr:colOff>85726</xdr:colOff>
      <xdr:row>10</xdr:row>
      <xdr:rowOff>19051</xdr:rowOff>
    </xdr:to>
    <xdr:pic>
      <xdr:nvPicPr>
        <xdr:cNvPr id="5" name="Graphic 1" descr="Bar graph with upward trend with solid fill">
          <a:extLst>
            <a:ext uri="{FF2B5EF4-FFF2-40B4-BE49-F238E27FC236}">
              <a16:creationId xmlns:a16="http://schemas.microsoft.com/office/drawing/2014/main" id="{551989DF-5341-A017-162C-F272DEE24F2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47701" y="2266951"/>
          <a:ext cx="476250" cy="476250"/>
        </a:xfrm>
        <a:prstGeom prst="rect">
          <a:avLst/>
        </a:prstGeom>
        <a:effectLst>
          <a:outerShdw blurRad="50800" dist="38100" dir="2700000" algn="tl" rotWithShape="0">
            <a:prstClr val="black">
              <a:alpha val="40000"/>
            </a:prstClr>
          </a:outerShdw>
        </a:effectLst>
      </xdr:spPr>
    </xdr:pic>
    <xdr:clientData/>
  </xdr:twoCellAnchor>
  <xdr:twoCellAnchor>
    <xdr:from>
      <xdr:col>5</xdr:col>
      <xdr:colOff>600075</xdr:colOff>
      <xdr:row>2</xdr:row>
      <xdr:rowOff>114300</xdr:rowOff>
    </xdr:from>
    <xdr:to>
      <xdr:col>6</xdr:col>
      <xdr:colOff>0</xdr:colOff>
      <xdr:row>19</xdr:row>
      <xdr:rowOff>228600</xdr:rowOff>
    </xdr:to>
    <xdr:cxnSp macro="">
      <xdr:nvCxnSpPr>
        <xdr:cNvPr id="10" name="Straight Connector 9">
          <a:extLst>
            <a:ext uri="{FF2B5EF4-FFF2-40B4-BE49-F238E27FC236}">
              <a16:creationId xmlns:a16="http://schemas.microsoft.com/office/drawing/2014/main" id="{6ABF44F3-E6A3-45BB-C003-6F2914F12B34}"/>
            </a:ext>
          </a:extLst>
        </xdr:cNvPr>
        <xdr:cNvCxnSpPr/>
      </xdr:nvCxnSpPr>
      <xdr:spPr>
        <a:xfrm>
          <a:off x="5934075" y="1009650"/>
          <a:ext cx="9525" cy="4514850"/>
        </a:xfrm>
        <a:prstGeom prst="line">
          <a:avLst/>
        </a:prstGeom>
        <a:ln>
          <a:solidFill>
            <a:schemeClr val="bg2"/>
          </a:solidFill>
        </a:ln>
        <a:effectLst>
          <a:outerShdw blurRad="63500" sx="102000" sy="102000" algn="ctr" rotWithShape="0">
            <a:prstClr val="black">
              <a:alpha val="40000"/>
            </a:prstClr>
          </a:outerShdw>
          <a:softEdge rad="12700"/>
        </a:effectLst>
        <a:scene3d>
          <a:camera prst="isometricOffAxis2Right"/>
          <a:lightRig rig="threePt" dir="t"/>
        </a:scene3d>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438150</xdr:colOff>
      <xdr:row>3</xdr:row>
      <xdr:rowOff>38099</xdr:rowOff>
    </xdr:from>
    <xdr:to>
      <xdr:col>2</xdr:col>
      <xdr:colOff>85725</xdr:colOff>
      <xdr:row>5</xdr:row>
      <xdr:rowOff>104774</xdr:rowOff>
    </xdr:to>
    <xdr:pic>
      <xdr:nvPicPr>
        <xdr:cNvPr id="14" name="Graphic 13" descr="Gears with solid fill">
          <a:extLst>
            <a:ext uri="{FF2B5EF4-FFF2-40B4-BE49-F238E27FC236}">
              <a16:creationId xmlns:a16="http://schemas.microsoft.com/office/drawing/2014/main" id="{51691F71-BF29-0DD7-C34A-65FA5B7CEAB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38150" y="1133474"/>
          <a:ext cx="523875" cy="523875"/>
        </a:xfrm>
        <a:prstGeom prst="rect">
          <a:avLst/>
        </a:prstGeom>
        <a:effectLst>
          <a:outerShdw blurRad="50800" dist="38100" algn="l" rotWithShape="0">
            <a:prstClr val="black">
              <a:alpha val="40000"/>
            </a:prstClr>
          </a:outerShdw>
        </a:effectLst>
      </xdr:spPr>
    </xdr:pic>
    <xdr:clientData/>
  </xdr:twoCellAnchor>
  <xdr:twoCellAnchor editAs="oneCell">
    <xdr:from>
      <xdr:col>0</xdr:col>
      <xdr:colOff>409575</xdr:colOff>
      <xdr:row>12</xdr:row>
      <xdr:rowOff>209550</xdr:rowOff>
    </xdr:from>
    <xdr:to>
      <xdr:col>2</xdr:col>
      <xdr:colOff>142874</xdr:colOff>
      <xdr:row>15</xdr:row>
      <xdr:rowOff>114299</xdr:rowOff>
    </xdr:to>
    <xdr:pic>
      <xdr:nvPicPr>
        <xdr:cNvPr id="17" name="Graphic 16" descr="Users with solid fill">
          <a:extLst>
            <a:ext uri="{FF2B5EF4-FFF2-40B4-BE49-F238E27FC236}">
              <a16:creationId xmlns:a16="http://schemas.microsoft.com/office/drawing/2014/main" id="{DDE0B494-3D35-10BE-D61D-89864CFD8DE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09575" y="3705225"/>
          <a:ext cx="609599" cy="609599"/>
        </a:xfrm>
        <a:prstGeom prst="rect">
          <a:avLst/>
        </a:prstGeom>
        <a:effectLst>
          <a:outerShdw blurRad="63500" sx="102000" sy="102000" algn="ctr" rotWithShape="0">
            <a:prstClr val="black">
              <a:alpha val="40000"/>
            </a:prst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9525</xdr:rowOff>
    </xdr:from>
    <xdr:to>
      <xdr:col>21</xdr:col>
      <xdr:colOff>114300</xdr:colOff>
      <xdr:row>2</xdr:row>
      <xdr:rowOff>9525</xdr:rowOff>
    </xdr:to>
    <xdr:cxnSp macro="">
      <xdr:nvCxnSpPr>
        <xdr:cNvPr id="5" name="Straight Connector 4">
          <a:extLst>
            <a:ext uri="{FF2B5EF4-FFF2-40B4-BE49-F238E27FC236}">
              <a16:creationId xmlns:a16="http://schemas.microsoft.com/office/drawing/2014/main" id="{375900CD-7DA8-A9DB-5F96-7028735F50AC}"/>
            </a:ext>
          </a:extLst>
        </xdr:cNvPr>
        <xdr:cNvCxnSpPr/>
      </xdr:nvCxnSpPr>
      <xdr:spPr>
        <a:xfrm>
          <a:off x="0" y="895350"/>
          <a:ext cx="12915900" cy="0"/>
        </a:xfrm>
        <a:prstGeom prst="line">
          <a:avLst/>
        </a:prstGeom>
        <a:effectLst>
          <a:outerShdw blurRad="50800" dist="38100" dir="8100000" algn="tr" rotWithShape="0">
            <a:prstClr val="black">
              <a:alpha val="40000"/>
            </a:prstClr>
          </a:outerShdw>
        </a:effectLst>
      </xdr:spPr>
      <xdr:style>
        <a:lnRef idx="3">
          <a:schemeClr val="accent3"/>
        </a:lnRef>
        <a:fillRef idx="0">
          <a:schemeClr val="accent3"/>
        </a:fillRef>
        <a:effectRef idx="2">
          <a:schemeClr val="accent3"/>
        </a:effectRef>
        <a:fontRef idx="minor">
          <a:schemeClr val="tx1"/>
        </a:fontRef>
      </xdr:style>
    </xdr:cxnSp>
    <xdr:clientData/>
  </xdr:twoCellAnchor>
  <xdr:twoCellAnchor>
    <xdr:from>
      <xdr:col>0</xdr:col>
      <xdr:colOff>137583</xdr:colOff>
      <xdr:row>3</xdr:row>
      <xdr:rowOff>10583</xdr:rowOff>
    </xdr:from>
    <xdr:to>
      <xdr:col>0</xdr:col>
      <xdr:colOff>201083</xdr:colOff>
      <xdr:row>30</xdr:row>
      <xdr:rowOff>31750</xdr:rowOff>
    </xdr:to>
    <xdr:cxnSp macro="">
      <xdr:nvCxnSpPr>
        <xdr:cNvPr id="7" name="Straight Connector 6">
          <a:extLst>
            <a:ext uri="{FF2B5EF4-FFF2-40B4-BE49-F238E27FC236}">
              <a16:creationId xmlns:a16="http://schemas.microsoft.com/office/drawing/2014/main" id="{1F7819DD-A0B6-28C8-BEFA-CD09B4F61584}"/>
            </a:ext>
          </a:extLst>
        </xdr:cNvPr>
        <xdr:cNvCxnSpPr/>
      </xdr:nvCxnSpPr>
      <xdr:spPr>
        <a:xfrm>
          <a:off x="137583" y="990297"/>
          <a:ext cx="63500" cy="5600096"/>
        </a:xfrm>
        <a:prstGeom prst="line">
          <a:avLst/>
        </a:prstGeom>
        <a:effectLst>
          <a:outerShdw blurRad="50800" dist="38100" dir="2700000" algn="tl" rotWithShape="0">
            <a:prstClr val="black">
              <a:alpha val="40000"/>
            </a:prstClr>
          </a:outerShdw>
        </a:effectLst>
      </xdr:spPr>
      <xdr:style>
        <a:lnRef idx="3">
          <a:schemeClr val="accent3"/>
        </a:lnRef>
        <a:fillRef idx="0">
          <a:schemeClr val="accent3"/>
        </a:fillRef>
        <a:effectRef idx="2">
          <a:schemeClr val="accent3"/>
        </a:effectRef>
        <a:fontRef idx="minor">
          <a:schemeClr val="tx1"/>
        </a:fontRef>
      </xdr:style>
    </xdr:cxnSp>
    <xdr:clientData/>
  </xdr:twoCellAnchor>
  <xdr:twoCellAnchor>
    <xdr:from>
      <xdr:col>1</xdr:col>
      <xdr:colOff>455085</xdr:colOff>
      <xdr:row>5</xdr:row>
      <xdr:rowOff>21167</xdr:rowOff>
    </xdr:from>
    <xdr:to>
      <xdr:col>2</xdr:col>
      <xdr:colOff>95250</xdr:colOff>
      <xdr:row>6</xdr:row>
      <xdr:rowOff>93580</xdr:rowOff>
    </xdr:to>
    <xdr:sp macro="" textlink="">
      <xdr:nvSpPr>
        <xdr:cNvPr id="11" name="TextBox 10">
          <a:extLst>
            <a:ext uri="{FF2B5EF4-FFF2-40B4-BE49-F238E27FC236}">
              <a16:creationId xmlns:a16="http://schemas.microsoft.com/office/drawing/2014/main" id="{903395B8-CE53-E491-8587-B4AF04197BD1}"/>
            </a:ext>
          </a:extLst>
        </xdr:cNvPr>
        <xdr:cNvSpPr txBox="1"/>
      </xdr:nvSpPr>
      <xdr:spPr>
        <a:xfrm>
          <a:off x="1068918" y="1460500"/>
          <a:ext cx="1523999" cy="2629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600"/>
            <a:t>Total Members</a:t>
          </a:r>
        </a:p>
        <a:p>
          <a:endParaRPr lang="en-ZA" sz="1100"/>
        </a:p>
      </xdr:txBody>
    </xdr:sp>
    <xdr:clientData/>
  </xdr:twoCellAnchor>
  <xdr:twoCellAnchor>
    <xdr:from>
      <xdr:col>1</xdr:col>
      <xdr:colOff>985637</xdr:colOff>
      <xdr:row>6</xdr:row>
      <xdr:rowOff>123356</xdr:rowOff>
    </xdr:from>
    <xdr:to>
      <xdr:col>1</xdr:col>
      <xdr:colOff>1472784</xdr:colOff>
      <xdr:row>8</xdr:row>
      <xdr:rowOff>158750</xdr:rowOff>
    </xdr:to>
    <xdr:sp macro="" textlink="total_members">
      <xdr:nvSpPr>
        <xdr:cNvPr id="15" name="TextBox 14">
          <a:extLst>
            <a:ext uri="{FF2B5EF4-FFF2-40B4-BE49-F238E27FC236}">
              <a16:creationId xmlns:a16="http://schemas.microsoft.com/office/drawing/2014/main" id="{4D00E181-5CCA-B585-49C9-7E1E10DF3C4D}"/>
            </a:ext>
          </a:extLst>
        </xdr:cNvPr>
        <xdr:cNvSpPr txBox="1"/>
      </xdr:nvSpPr>
      <xdr:spPr>
        <a:xfrm>
          <a:off x="1599470" y="1753189"/>
          <a:ext cx="487147" cy="4163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7C87E4-E216-471A-9B05-034CD3FAB41E}" type="TxLink">
            <a:rPr lang="en-US" sz="2800" b="0" i="0" u="none" strike="noStrike">
              <a:solidFill>
                <a:srgbClr val="000000"/>
              </a:solidFill>
              <a:latin typeface="Calibri"/>
              <a:cs typeface="Calibri"/>
            </a:rPr>
            <a:pPr/>
            <a:t>3</a:t>
          </a:fld>
          <a:endParaRPr lang="en-ZA" sz="2800"/>
        </a:p>
      </xdr:txBody>
    </xdr:sp>
    <xdr:clientData/>
  </xdr:twoCellAnchor>
  <xdr:twoCellAnchor>
    <xdr:from>
      <xdr:col>1</xdr:col>
      <xdr:colOff>417980</xdr:colOff>
      <xdr:row>10</xdr:row>
      <xdr:rowOff>10585</xdr:rowOff>
    </xdr:from>
    <xdr:to>
      <xdr:col>2</xdr:col>
      <xdr:colOff>132291</xdr:colOff>
      <xdr:row>11</xdr:row>
      <xdr:rowOff>127001</xdr:rowOff>
    </xdr:to>
    <xdr:sp macro="" textlink="">
      <xdr:nvSpPr>
        <xdr:cNvPr id="18" name="TextBox 17">
          <a:extLst>
            <a:ext uri="{FF2B5EF4-FFF2-40B4-BE49-F238E27FC236}">
              <a16:creationId xmlns:a16="http://schemas.microsoft.com/office/drawing/2014/main" id="{615552C2-BC55-41CA-A517-5939254586BA}"/>
            </a:ext>
          </a:extLst>
        </xdr:cNvPr>
        <xdr:cNvSpPr txBox="1"/>
      </xdr:nvSpPr>
      <xdr:spPr>
        <a:xfrm>
          <a:off x="1031813" y="2402418"/>
          <a:ext cx="1598145" cy="3069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600"/>
            <a:t>Available</a:t>
          </a:r>
          <a:r>
            <a:rPr lang="en-ZA" sz="1600" baseline="0"/>
            <a:t> Space</a:t>
          </a:r>
        </a:p>
        <a:p>
          <a:endParaRPr lang="en-ZA" sz="1600"/>
        </a:p>
        <a:p>
          <a:endParaRPr lang="en-ZA" sz="1100"/>
        </a:p>
      </xdr:txBody>
    </xdr:sp>
    <xdr:clientData/>
  </xdr:twoCellAnchor>
  <xdr:twoCellAnchor>
    <xdr:from>
      <xdr:col>1</xdr:col>
      <xdr:colOff>982445</xdr:colOff>
      <xdr:row>11</xdr:row>
      <xdr:rowOff>169333</xdr:rowOff>
    </xdr:from>
    <xdr:to>
      <xdr:col>1</xdr:col>
      <xdr:colOff>1354666</xdr:colOff>
      <xdr:row>14</xdr:row>
      <xdr:rowOff>42333</xdr:rowOff>
    </xdr:to>
    <xdr:sp macro="" textlink="space">
      <xdr:nvSpPr>
        <xdr:cNvPr id="19" name="TextBox 18">
          <a:extLst>
            <a:ext uri="{FF2B5EF4-FFF2-40B4-BE49-F238E27FC236}">
              <a16:creationId xmlns:a16="http://schemas.microsoft.com/office/drawing/2014/main" id="{1B09B9E0-755D-4A12-B4C1-FFD0D5EFD3A0}"/>
            </a:ext>
          </a:extLst>
        </xdr:cNvPr>
        <xdr:cNvSpPr txBox="1"/>
      </xdr:nvSpPr>
      <xdr:spPr>
        <a:xfrm>
          <a:off x="1594766" y="2781904"/>
          <a:ext cx="372221" cy="444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1B3599-283E-434A-8CD3-D48AFE3580AF}" type="TxLink">
            <a:rPr lang="en-US" sz="2800" b="1" i="0" u="none" strike="noStrike">
              <a:solidFill>
                <a:srgbClr val="000000"/>
              </a:solidFill>
              <a:latin typeface="Calibri"/>
              <a:cs typeface="Calibri"/>
            </a:rPr>
            <a:pPr/>
            <a:t>2</a:t>
          </a:fld>
          <a:endParaRPr lang="en-ZA" sz="2800" b="1"/>
        </a:p>
      </xdr:txBody>
    </xdr:sp>
    <xdr:clientData/>
  </xdr:twoCellAnchor>
  <xdr:twoCellAnchor>
    <xdr:from>
      <xdr:col>0</xdr:col>
      <xdr:colOff>356659</xdr:colOff>
      <xdr:row>5</xdr:row>
      <xdr:rowOff>8468</xdr:rowOff>
    </xdr:from>
    <xdr:to>
      <xdr:col>1</xdr:col>
      <xdr:colOff>264584</xdr:colOff>
      <xdr:row>7</xdr:row>
      <xdr:rowOff>105834</xdr:rowOff>
    </xdr:to>
    <xdr:grpSp>
      <xdr:nvGrpSpPr>
        <xdr:cNvPr id="16" name="Group 15">
          <a:extLst>
            <a:ext uri="{FF2B5EF4-FFF2-40B4-BE49-F238E27FC236}">
              <a16:creationId xmlns:a16="http://schemas.microsoft.com/office/drawing/2014/main" id="{5C8CC21D-7C94-94B4-ACCA-2FB6291ED2DD}"/>
            </a:ext>
          </a:extLst>
        </xdr:cNvPr>
        <xdr:cNvGrpSpPr/>
      </xdr:nvGrpSpPr>
      <xdr:grpSpPr>
        <a:xfrm>
          <a:off x="356659" y="1475318"/>
          <a:ext cx="517525" cy="478366"/>
          <a:chOff x="356659" y="1447801"/>
          <a:chExt cx="521758" cy="478366"/>
        </a:xfrm>
      </xdr:grpSpPr>
      <xdr:sp macro="" textlink="">
        <xdr:nvSpPr>
          <xdr:cNvPr id="14" name="Oval 13">
            <a:extLst>
              <a:ext uri="{FF2B5EF4-FFF2-40B4-BE49-F238E27FC236}">
                <a16:creationId xmlns:a16="http://schemas.microsoft.com/office/drawing/2014/main" id="{37CC7EBE-16DC-BD1C-587C-4ABEDCA6913C}"/>
              </a:ext>
            </a:extLst>
          </xdr:cNvPr>
          <xdr:cNvSpPr/>
        </xdr:nvSpPr>
        <xdr:spPr>
          <a:xfrm>
            <a:off x="356659" y="1447801"/>
            <a:ext cx="521758" cy="478366"/>
          </a:xfrm>
          <a:prstGeom prst="ellipse">
            <a:avLst/>
          </a:prstGeo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pic>
        <xdr:nvPicPr>
          <xdr:cNvPr id="13" name="Graphic 12" descr="Users with solid fill">
            <a:extLst>
              <a:ext uri="{FF2B5EF4-FFF2-40B4-BE49-F238E27FC236}">
                <a16:creationId xmlns:a16="http://schemas.microsoft.com/office/drawing/2014/main" id="{8B55BF23-7730-D47D-60DC-C8C96F2FA9B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1267" y="1513031"/>
            <a:ext cx="338438" cy="347903"/>
          </a:xfrm>
          <a:prstGeom prst="rect">
            <a:avLst/>
          </a:prstGeom>
          <a:effectLst>
            <a:outerShdw blurRad="50800" dist="38100" dir="2700000" algn="tl" rotWithShape="0">
              <a:prstClr val="black">
                <a:alpha val="40000"/>
              </a:prstClr>
            </a:outerShdw>
          </a:effectLst>
        </xdr:spPr>
      </xdr:pic>
    </xdr:grpSp>
    <xdr:clientData/>
  </xdr:twoCellAnchor>
  <xdr:twoCellAnchor>
    <xdr:from>
      <xdr:col>1</xdr:col>
      <xdr:colOff>355600</xdr:colOff>
      <xdr:row>15</xdr:row>
      <xdr:rowOff>44450</xdr:rowOff>
    </xdr:from>
    <xdr:to>
      <xdr:col>1</xdr:col>
      <xdr:colOff>1878400</xdr:colOff>
      <xdr:row>16</xdr:row>
      <xdr:rowOff>116750</xdr:rowOff>
    </xdr:to>
    <xdr:sp macro="" textlink="">
      <xdr:nvSpPr>
        <xdr:cNvPr id="42" name="TextBox 41">
          <a:extLst>
            <a:ext uri="{FF2B5EF4-FFF2-40B4-BE49-F238E27FC236}">
              <a16:creationId xmlns:a16="http://schemas.microsoft.com/office/drawing/2014/main" id="{E19E5002-4DF4-4C8B-430F-C2FFEF4BC09C}"/>
            </a:ext>
          </a:extLst>
        </xdr:cNvPr>
        <xdr:cNvSpPr txBox="1"/>
      </xdr:nvSpPr>
      <xdr:spPr>
        <a:xfrm>
          <a:off x="967921" y="3419021"/>
          <a:ext cx="1522800" cy="262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600"/>
            <a:t>Skills</a:t>
          </a:r>
          <a:r>
            <a:rPr lang="en-ZA" sz="1600" baseline="0"/>
            <a:t> Covered</a:t>
          </a:r>
          <a:endParaRPr lang="en-ZA" sz="1600"/>
        </a:p>
        <a:p>
          <a:pPr algn="ctr"/>
          <a:endParaRPr lang="en-ZA" sz="1100"/>
        </a:p>
      </xdr:txBody>
    </xdr:sp>
    <xdr:clientData/>
  </xdr:twoCellAnchor>
  <xdr:twoCellAnchor>
    <xdr:from>
      <xdr:col>1</xdr:col>
      <xdr:colOff>927941</xdr:colOff>
      <xdr:row>16</xdr:row>
      <xdr:rowOff>184543</xdr:rowOff>
    </xdr:from>
    <xdr:to>
      <xdr:col>1</xdr:col>
      <xdr:colOff>1413941</xdr:colOff>
      <xdr:row>19</xdr:row>
      <xdr:rowOff>30643</xdr:rowOff>
    </xdr:to>
    <xdr:sp macro="" textlink="skills_covered">
      <xdr:nvSpPr>
        <xdr:cNvPr id="43" name="TextBox 42">
          <a:extLst>
            <a:ext uri="{FF2B5EF4-FFF2-40B4-BE49-F238E27FC236}">
              <a16:creationId xmlns:a16="http://schemas.microsoft.com/office/drawing/2014/main" id="{67D14868-9E18-B3D6-179D-B4E954BD7E58}"/>
            </a:ext>
          </a:extLst>
        </xdr:cNvPr>
        <xdr:cNvSpPr txBox="1"/>
      </xdr:nvSpPr>
      <xdr:spPr>
        <a:xfrm>
          <a:off x="1540262" y="3749614"/>
          <a:ext cx="486000" cy="417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FBB3238-785D-4201-8689-B7F8069B85AD}" type="TxLink">
            <a:rPr lang="en-US" sz="2800" b="1" i="0" u="none" strike="noStrike">
              <a:solidFill>
                <a:srgbClr val="000000"/>
              </a:solidFill>
              <a:latin typeface="Calibri"/>
              <a:cs typeface="Calibri"/>
            </a:rPr>
            <a:pPr algn="ctr"/>
            <a:t>8</a:t>
          </a:fld>
          <a:endParaRPr lang="en-ZA" sz="2800" b="1"/>
        </a:p>
      </xdr:txBody>
    </xdr:sp>
    <xdr:clientData/>
  </xdr:twoCellAnchor>
  <xdr:twoCellAnchor>
    <xdr:from>
      <xdr:col>1</xdr:col>
      <xdr:colOff>898592</xdr:colOff>
      <xdr:row>21</xdr:row>
      <xdr:rowOff>190068</xdr:rowOff>
    </xdr:from>
    <xdr:to>
      <xdr:col>1</xdr:col>
      <xdr:colOff>1545167</xdr:colOff>
      <xdr:row>24</xdr:row>
      <xdr:rowOff>137584</xdr:rowOff>
    </xdr:to>
    <xdr:sp macro="" textlink="avg_skill_count">
      <xdr:nvSpPr>
        <xdr:cNvPr id="45" name="TextBox 44">
          <a:extLst>
            <a:ext uri="{FF2B5EF4-FFF2-40B4-BE49-F238E27FC236}">
              <a16:creationId xmlns:a16="http://schemas.microsoft.com/office/drawing/2014/main" id="{1035C9AA-3031-1B1A-6E4A-6482BA4FE328}"/>
            </a:ext>
          </a:extLst>
        </xdr:cNvPr>
        <xdr:cNvSpPr txBox="1"/>
      </xdr:nvSpPr>
      <xdr:spPr>
        <a:xfrm>
          <a:off x="1510913" y="4816497"/>
          <a:ext cx="646575" cy="6823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915E07F-4A97-42C7-B176-19549CEC5D85}" type="TxLink">
            <a:rPr lang="en-US" sz="2800" b="1" i="0" u="none" strike="noStrike">
              <a:solidFill>
                <a:srgbClr val="000000"/>
              </a:solidFill>
              <a:latin typeface="Calibri"/>
              <a:cs typeface="Calibri"/>
            </a:rPr>
            <a:pPr algn="ctr"/>
            <a:t>3.7</a:t>
          </a:fld>
          <a:endParaRPr lang="en-ZA" sz="2800" b="1"/>
        </a:p>
      </xdr:txBody>
    </xdr:sp>
    <xdr:clientData/>
  </xdr:twoCellAnchor>
  <xdr:twoCellAnchor>
    <xdr:from>
      <xdr:col>1</xdr:col>
      <xdr:colOff>64802</xdr:colOff>
      <xdr:row>20</xdr:row>
      <xdr:rowOff>113942</xdr:rowOff>
    </xdr:from>
    <xdr:to>
      <xdr:col>3</xdr:col>
      <xdr:colOff>87135</xdr:colOff>
      <xdr:row>21</xdr:row>
      <xdr:rowOff>186242</xdr:rowOff>
    </xdr:to>
    <xdr:sp macro="" textlink="">
      <xdr:nvSpPr>
        <xdr:cNvPr id="44" name="TextBox 43">
          <a:extLst>
            <a:ext uri="{FF2B5EF4-FFF2-40B4-BE49-F238E27FC236}">
              <a16:creationId xmlns:a16="http://schemas.microsoft.com/office/drawing/2014/main" id="{EA1FDEFD-FB58-E5AB-E04C-66AA4C0FDAE6}"/>
            </a:ext>
          </a:extLst>
        </xdr:cNvPr>
        <xdr:cNvSpPr txBox="1"/>
      </xdr:nvSpPr>
      <xdr:spPr>
        <a:xfrm>
          <a:off x="677123" y="4495442"/>
          <a:ext cx="2526048" cy="3172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600" baseline="0"/>
            <a:t>Average Skill Per Person</a:t>
          </a:r>
        </a:p>
        <a:p>
          <a:pPr algn="ctr"/>
          <a:endParaRPr lang="en-ZA" sz="1600" baseline="0"/>
        </a:p>
        <a:p>
          <a:pPr algn="ctr"/>
          <a:endParaRPr lang="en-ZA" sz="1600"/>
        </a:p>
        <a:p>
          <a:pPr algn="ctr"/>
          <a:endParaRPr lang="en-ZA" sz="1100"/>
        </a:p>
      </xdr:txBody>
    </xdr:sp>
    <xdr:clientData/>
  </xdr:twoCellAnchor>
  <xdr:twoCellAnchor>
    <xdr:from>
      <xdr:col>0</xdr:col>
      <xdr:colOff>179916</xdr:colOff>
      <xdr:row>9</xdr:row>
      <xdr:rowOff>105833</xdr:rowOff>
    </xdr:from>
    <xdr:to>
      <xdr:col>2</xdr:col>
      <xdr:colOff>571500</xdr:colOff>
      <xdr:row>9</xdr:row>
      <xdr:rowOff>106891</xdr:rowOff>
    </xdr:to>
    <xdr:cxnSp macro="">
      <xdr:nvCxnSpPr>
        <xdr:cNvPr id="28" name="Straight Connector 27">
          <a:extLst>
            <a:ext uri="{FF2B5EF4-FFF2-40B4-BE49-F238E27FC236}">
              <a16:creationId xmlns:a16="http://schemas.microsoft.com/office/drawing/2014/main" id="{D3BDD55A-EECE-359B-1DE3-D0106066FC24}"/>
            </a:ext>
          </a:extLst>
        </xdr:cNvPr>
        <xdr:cNvCxnSpPr/>
      </xdr:nvCxnSpPr>
      <xdr:spPr>
        <a:xfrm flipV="1">
          <a:off x="179916" y="2307166"/>
          <a:ext cx="2889251" cy="1058"/>
        </a:xfrm>
        <a:prstGeom prst="line">
          <a:avLst/>
        </a:prstGeom>
        <a:effectLst>
          <a:outerShdw blurRad="63500" sx="102000" sy="102000" algn="ctr" rotWithShape="0">
            <a:prstClr val="black">
              <a:alpha val="40000"/>
            </a:prstClr>
          </a:outerShdw>
        </a:effectLst>
      </xdr:spPr>
      <xdr:style>
        <a:lnRef idx="1">
          <a:schemeClr val="accent3"/>
        </a:lnRef>
        <a:fillRef idx="0">
          <a:schemeClr val="accent3"/>
        </a:fillRef>
        <a:effectRef idx="0">
          <a:schemeClr val="accent3"/>
        </a:effectRef>
        <a:fontRef idx="minor">
          <a:schemeClr val="tx1"/>
        </a:fontRef>
      </xdr:style>
    </xdr:cxnSp>
    <xdr:clientData/>
  </xdr:twoCellAnchor>
  <xdr:twoCellAnchor>
    <xdr:from>
      <xdr:col>0</xdr:col>
      <xdr:colOff>264582</xdr:colOff>
      <xdr:row>27</xdr:row>
      <xdr:rowOff>155572</xdr:rowOff>
    </xdr:from>
    <xdr:to>
      <xdr:col>4</xdr:col>
      <xdr:colOff>35482</xdr:colOff>
      <xdr:row>30</xdr:row>
      <xdr:rowOff>1672</xdr:rowOff>
    </xdr:to>
    <xdr:sp macro="" textlink="avg_skills">
      <xdr:nvSpPr>
        <xdr:cNvPr id="48" name="TextBox 47">
          <a:extLst>
            <a:ext uri="{FF2B5EF4-FFF2-40B4-BE49-F238E27FC236}">
              <a16:creationId xmlns:a16="http://schemas.microsoft.com/office/drawing/2014/main" id="{9710382D-0D0C-6CD8-F63D-CDA72229CA37}"/>
            </a:ext>
          </a:extLst>
        </xdr:cNvPr>
        <xdr:cNvSpPr txBox="1"/>
      </xdr:nvSpPr>
      <xdr:spPr>
        <a:xfrm>
          <a:off x="264582" y="6099172"/>
          <a:ext cx="3485650" cy="417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3DC7F0-F93B-4214-AA4B-AE441537B0A4}" type="TxLink">
            <a:rPr lang="en-US" sz="2000" b="1" i="0" u="none" strike="noStrike">
              <a:solidFill>
                <a:srgbClr val="000000"/>
              </a:solidFill>
              <a:latin typeface="Calibri"/>
              <a:cs typeface="Calibri"/>
            </a:rPr>
            <a:pPr algn="ctr"/>
            <a:t>Spreadsheets &amp; Presentation</a:t>
          </a:fld>
          <a:endParaRPr lang="en-ZA" sz="2000" b="1"/>
        </a:p>
      </xdr:txBody>
    </xdr:sp>
    <xdr:clientData/>
  </xdr:twoCellAnchor>
  <xdr:twoCellAnchor>
    <xdr:from>
      <xdr:col>1</xdr:col>
      <xdr:colOff>475191</xdr:colOff>
      <xdr:row>25</xdr:row>
      <xdr:rowOff>154517</xdr:rowOff>
    </xdr:from>
    <xdr:to>
      <xdr:col>2</xdr:col>
      <xdr:colOff>114157</xdr:colOff>
      <xdr:row>27</xdr:row>
      <xdr:rowOff>36317</xdr:rowOff>
    </xdr:to>
    <xdr:sp macro="" textlink="">
      <xdr:nvSpPr>
        <xdr:cNvPr id="47" name="TextBox 46">
          <a:extLst>
            <a:ext uri="{FF2B5EF4-FFF2-40B4-BE49-F238E27FC236}">
              <a16:creationId xmlns:a16="http://schemas.microsoft.com/office/drawing/2014/main" id="{F68C70EE-0EB3-C7BD-514A-C15139D8FE51}"/>
            </a:ext>
          </a:extLst>
        </xdr:cNvPr>
        <xdr:cNvSpPr txBox="1"/>
      </xdr:nvSpPr>
      <xdr:spPr>
        <a:xfrm>
          <a:off x="1087512" y="5760660"/>
          <a:ext cx="1530359" cy="262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600"/>
            <a:t>Top Skills</a:t>
          </a:r>
        </a:p>
      </xdr:txBody>
    </xdr:sp>
    <xdr:clientData/>
  </xdr:twoCellAnchor>
  <xdr:twoCellAnchor>
    <xdr:from>
      <xdr:col>4</xdr:col>
      <xdr:colOff>349250</xdr:colOff>
      <xdr:row>6</xdr:row>
      <xdr:rowOff>158749</xdr:rowOff>
    </xdr:from>
    <xdr:to>
      <xdr:col>13</xdr:col>
      <xdr:colOff>444499</xdr:colOff>
      <xdr:row>26</xdr:row>
      <xdr:rowOff>95250</xdr:rowOff>
    </xdr:to>
    <xdr:graphicFrame macro="">
      <xdr:nvGraphicFramePr>
        <xdr:cNvPr id="49" name="Chart 48">
          <a:extLst>
            <a:ext uri="{FF2B5EF4-FFF2-40B4-BE49-F238E27FC236}">
              <a16:creationId xmlns:a16="http://schemas.microsoft.com/office/drawing/2014/main" id="{B3EEF9CF-ED82-4504-8644-8FBF077AC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560914</xdr:colOff>
      <xdr:row>4</xdr:row>
      <xdr:rowOff>31751</xdr:rowOff>
    </xdr:from>
    <xdr:to>
      <xdr:col>20</xdr:col>
      <xdr:colOff>126997</xdr:colOff>
      <xdr:row>17</xdr:row>
      <xdr:rowOff>126999</xdr:rowOff>
    </xdr:to>
    <xdr:graphicFrame macro="">
      <xdr:nvGraphicFramePr>
        <xdr:cNvPr id="50" name="Chart 49">
          <a:extLst>
            <a:ext uri="{FF2B5EF4-FFF2-40B4-BE49-F238E27FC236}">
              <a16:creationId xmlns:a16="http://schemas.microsoft.com/office/drawing/2014/main" id="{B513EE19-3AB1-4C0E-8E74-A12CE16D4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201083</xdr:colOff>
      <xdr:row>14</xdr:row>
      <xdr:rowOff>116417</xdr:rowOff>
    </xdr:from>
    <xdr:to>
      <xdr:col>2</xdr:col>
      <xdr:colOff>592667</xdr:colOff>
      <xdr:row>14</xdr:row>
      <xdr:rowOff>117475</xdr:rowOff>
    </xdr:to>
    <xdr:cxnSp macro="">
      <xdr:nvCxnSpPr>
        <xdr:cNvPr id="57" name="Straight Connector 56">
          <a:extLst>
            <a:ext uri="{FF2B5EF4-FFF2-40B4-BE49-F238E27FC236}">
              <a16:creationId xmlns:a16="http://schemas.microsoft.com/office/drawing/2014/main" id="{C6F23D06-DD25-4B17-85B6-DCD12FC4527A}"/>
            </a:ext>
          </a:extLst>
        </xdr:cNvPr>
        <xdr:cNvCxnSpPr/>
      </xdr:nvCxnSpPr>
      <xdr:spPr>
        <a:xfrm flipV="1">
          <a:off x="201083" y="3300488"/>
          <a:ext cx="2895298" cy="1058"/>
        </a:xfrm>
        <a:prstGeom prst="line">
          <a:avLst/>
        </a:prstGeom>
        <a:effectLst>
          <a:outerShdw blurRad="63500" sx="102000" sy="102000" algn="ctr" rotWithShape="0">
            <a:prstClr val="black">
              <a:alpha val="40000"/>
            </a:prstClr>
          </a:outerShdw>
        </a:effectLst>
      </xdr:spPr>
      <xdr:style>
        <a:lnRef idx="1">
          <a:schemeClr val="accent3"/>
        </a:lnRef>
        <a:fillRef idx="0">
          <a:schemeClr val="accent3"/>
        </a:fillRef>
        <a:effectRef idx="0">
          <a:schemeClr val="accent3"/>
        </a:effectRef>
        <a:fontRef idx="minor">
          <a:schemeClr val="tx1"/>
        </a:fontRef>
      </xdr:style>
    </xdr:cxnSp>
    <xdr:clientData/>
  </xdr:twoCellAnchor>
  <xdr:twoCellAnchor>
    <xdr:from>
      <xdr:col>0</xdr:col>
      <xdr:colOff>156633</xdr:colOff>
      <xdr:row>19</xdr:row>
      <xdr:rowOff>177799</xdr:rowOff>
    </xdr:from>
    <xdr:to>
      <xdr:col>2</xdr:col>
      <xdr:colOff>548217</xdr:colOff>
      <xdr:row>19</xdr:row>
      <xdr:rowOff>178857</xdr:rowOff>
    </xdr:to>
    <xdr:cxnSp macro="">
      <xdr:nvCxnSpPr>
        <xdr:cNvPr id="59" name="Straight Connector 58">
          <a:extLst>
            <a:ext uri="{FF2B5EF4-FFF2-40B4-BE49-F238E27FC236}">
              <a16:creationId xmlns:a16="http://schemas.microsoft.com/office/drawing/2014/main" id="{9AC65A12-94C2-4024-885E-CA8AA9AA24D1}"/>
            </a:ext>
          </a:extLst>
        </xdr:cNvPr>
        <xdr:cNvCxnSpPr/>
      </xdr:nvCxnSpPr>
      <xdr:spPr>
        <a:xfrm flipV="1">
          <a:off x="156633" y="4314370"/>
          <a:ext cx="2895298" cy="1058"/>
        </a:xfrm>
        <a:prstGeom prst="line">
          <a:avLst/>
        </a:prstGeom>
        <a:effectLst>
          <a:outerShdw blurRad="63500" sx="102000" sy="102000" algn="ctr" rotWithShape="0">
            <a:prstClr val="black">
              <a:alpha val="40000"/>
            </a:prstClr>
          </a:outerShdw>
        </a:effectLst>
      </xdr:spPr>
      <xdr:style>
        <a:lnRef idx="1">
          <a:schemeClr val="accent3"/>
        </a:lnRef>
        <a:fillRef idx="0">
          <a:schemeClr val="accent3"/>
        </a:fillRef>
        <a:effectRef idx="0">
          <a:schemeClr val="accent3"/>
        </a:effectRef>
        <a:fontRef idx="minor">
          <a:schemeClr val="tx1"/>
        </a:fontRef>
      </xdr:style>
    </xdr:cxnSp>
    <xdr:clientData/>
  </xdr:twoCellAnchor>
  <xdr:twoCellAnchor>
    <xdr:from>
      <xdr:col>0</xdr:col>
      <xdr:colOff>359835</xdr:colOff>
      <xdr:row>10</xdr:row>
      <xdr:rowOff>84667</xdr:rowOff>
    </xdr:from>
    <xdr:to>
      <xdr:col>1</xdr:col>
      <xdr:colOff>267760</xdr:colOff>
      <xdr:row>12</xdr:row>
      <xdr:rowOff>182033</xdr:rowOff>
    </xdr:to>
    <xdr:sp macro="" textlink="">
      <xdr:nvSpPr>
        <xdr:cNvPr id="12" name="Oval 11">
          <a:extLst>
            <a:ext uri="{FF2B5EF4-FFF2-40B4-BE49-F238E27FC236}">
              <a16:creationId xmlns:a16="http://schemas.microsoft.com/office/drawing/2014/main" id="{B6733FB4-3CF5-430B-B106-778D4B791261}"/>
            </a:ext>
          </a:extLst>
        </xdr:cNvPr>
        <xdr:cNvSpPr/>
      </xdr:nvSpPr>
      <xdr:spPr>
        <a:xfrm>
          <a:off x="359835" y="2476500"/>
          <a:ext cx="521758" cy="478366"/>
        </a:xfrm>
        <a:prstGeom prst="ellipse">
          <a:avLst/>
        </a:prstGeo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389465</xdr:colOff>
      <xdr:row>15</xdr:row>
      <xdr:rowOff>93134</xdr:rowOff>
    </xdr:from>
    <xdr:to>
      <xdr:col>1</xdr:col>
      <xdr:colOff>297390</xdr:colOff>
      <xdr:row>18</xdr:row>
      <xdr:rowOff>0</xdr:rowOff>
    </xdr:to>
    <xdr:sp macro="" textlink="">
      <xdr:nvSpPr>
        <xdr:cNvPr id="21" name="Oval 20">
          <a:extLst>
            <a:ext uri="{FF2B5EF4-FFF2-40B4-BE49-F238E27FC236}">
              <a16:creationId xmlns:a16="http://schemas.microsoft.com/office/drawing/2014/main" id="{D973CD70-511D-4B5A-826D-E218043216C6}"/>
            </a:ext>
          </a:extLst>
        </xdr:cNvPr>
        <xdr:cNvSpPr/>
      </xdr:nvSpPr>
      <xdr:spPr>
        <a:xfrm>
          <a:off x="389465" y="3437467"/>
          <a:ext cx="521758" cy="478366"/>
        </a:xfrm>
        <a:prstGeom prst="ellipse">
          <a:avLst/>
        </a:prstGeo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372533</xdr:colOff>
      <xdr:row>25</xdr:row>
      <xdr:rowOff>139700</xdr:rowOff>
    </xdr:from>
    <xdr:to>
      <xdr:col>1</xdr:col>
      <xdr:colOff>280458</xdr:colOff>
      <xdr:row>28</xdr:row>
      <xdr:rowOff>46566</xdr:rowOff>
    </xdr:to>
    <xdr:sp macro="" textlink="">
      <xdr:nvSpPr>
        <xdr:cNvPr id="23" name="Oval 22">
          <a:extLst>
            <a:ext uri="{FF2B5EF4-FFF2-40B4-BE49-F238E27FC236}">
              <a16:creationId xmlns:a16="http://schemas.microsoft.com/office/drawing/2014/main" id="{5BEC6A41-6563-4A89-9646-6A0345E1C41D}"/>
            </a:ext>
          </a:extLst>
        </xdr:cNvPr>
        <xdr:cNvSpPr/>
      </xdr:nvSpPr>
      <xdr:spPr>
        <a:xfrm>
          <a:off x="372533" y="5389033"/>
          <a:ext cx="521758" cy="478366"/>
        </a:xfrm>
        <a:prstGeom prst="ellipse">
          <a:avLst/>
        </a:prstGeo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editAs="oneCell">
    <xdr:from>
      <xdr:col>0</xdr:col>
      <xdr:colOff>476252</xdr:colOff>
      <xdr:row>11</xdr:row>
      <xdr:rowOff>10585</xdr:rowOff>
    </xdr:from>
    <xdr:to>
      <xdr:col>1</xdr:col>
      <xdr:colOff>158753</xdr:colOff>
      <xdr:row>12</xdr:row>
      <xdr:rowOff>116419</xdr:rowOff>
    </xdr:to>
    <xdr:pic>
      <xdr:nvPicPr>
        <xdr:cNvPr id="68" name="Graphic 67" descr="Follow with solid fill">
          <a:extLst>
            <a:ext uri="{FF2B5EF4-FFF2-40B4-BE49-F238E27FC236}">
              <a16:creationId xmlns:a16="http://schemas.microsoft.com/office/drawing/2014/main" id="{F6F4E18A-FAA6-E57E-9EC6-944F0A5FF76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76252" y="2623156"/>
          <a:ext cx="294822" cy="296334"/>
        </a:xfrm>
        <a:prstGeom prst="rect">
          <a:avLst/>
        </a:prstGeom>
        <a:effectLst>
          <a:outerShdw blurRad="50800" dist="38100" dir="5400000" algn="t" rotWithShape="0">
            <a:prstClr val="black">
              <a:alpha val="40000"/>
            </a:prstClr>
          </a:outerShdw>
        </a:effectLst>
      </xdr:spPr>
    </xdr:pic>
    <xdr:clientData/>
  </xdr:twoCellAnchor>
  <xdr:twoCellAnchor>
    <xdr:from>
      <xdr:col>0</xdr:col>
      <xdr:colOff>370417</xdr:colOff>
      <xdr:row>20</xdr:row>
      <xdr:rowOff>179917</xdr:rowOff>
    </xdr:from>
    <xdr:to>
      <xdr:col>1</xdr:col>
      <xdr:colOff>278342</xdr:colOff>
      <xdr:row>23</xdr:row>
      <xdr:rowOff>86783</xdr:rowOff>
    </xdr:to>
    <xdr:sp macro="" textlink="">
      <xdr:nvSpPr>
        <xdr:cNvPr id="73" name="Oval 72">
          <a:extLst>
            <a:ext uri="{FF2B5EF4-FFF2-40B4-BE49-F238E27FC236}">
              <a16:creationId xmlns:a16="http://schemas.microsoft.com/office/drawing/2014/main" id="{417E42F2-1E1C-4939-9CB4-CB18967F0F7E}"/>
            </a:ext>
          </a:extLst>
        </xdr:cNvPr>
        <xdr:cNvSpPr/>
      </xdr:nvSpPr>
      <xdr:spPr>
        <a:xfrm>
          <a:off x="370417" y="4476750"/>
          <a:ext cx="521758" cy="478366"/>
        </a:xfrm>
        <a:prstGeom prst="ellipse">
          <a:avLst/>
        </a:prstGeo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editAs="oneCell">
    <xdr:from>
      <xdr:col>0</xdr:col>
      <xdr:colOff>465666</xdr:colOff>
      <xdr:row>15</xdr:row>
      <xdr:rowOff>158751</xdr:rowOff>
    </xdr:from>
    <xdr:to>
      <xdr:col>1</xdr:col>
      <xdr:colOff>247649</xdr:colOff>
      <xdr:row>17</xdr:row>
      <xdr:rowOff>173567</xdr:rowOff>
    </xdr:to>
    <xdr:pic>
      <xdr:nvPicPr>
        <xdr:cNvPr id="75" name="Graphic 74" descr="Single gear with solid fill">
          <a:extLst>
            <a:ext uri="{FF2B5EF4-FFF2-40B4-BE49-F238E27FC236}">
              <a16:creationId xmlns:a16="http://schemas.microsoft.com/office/drawing/2014/main" id="{373BE914-AC81-9EAC-9A52-0841FC5BE38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65666" y="3533322"/>
          <a:ext cx="394304" cy="395816"/>
        </a:xfrm>
        <a:prstGeom prst="rect">
          <a:avLst/>
        </a:prstGeom>
        <a:effectLst>
          <a:outerShdw blurRad="63500" sx="102000" sy="102000" algn="ctr" rotWithShape="0">
            <a:prstClr val="black">
              <a:alpha val="40000"/>
            </a:prstClr>
          </a:outerShdw>
        </a:effectLst>
      </xdr:spPr>
    </xdr:pic>
    <xdr:clientData/>
  </xdr:twoCellAnchor>
  <xdr:twoCellAnchor>
    <xdr:from>
      <xdr:col>0</xdr:col>
      <xdr:colOff>253999</xdr:colOff>
      <xdr:row>25</xdr:row>
      <xdr:rowOff>10583</xdr:rowOff>
    </xdr:from>
    <xdr:to>
      <xdr:col>3</xdr:col>
      <xdr:colOff>31750</xdr:colOff>
      <xdr:row>25</xdr:row>
      <xdr:rowOff>11641</xdr:rowOff>
    </xdr:to>
    <xdr:cxnSp macro="">
      <xdr:nvCxnSpPr>
        <xdr:cNvPr id="77" name="Straight Connector 76">
          <a:extLst>
            <a:ext uri="{FF2B5EF4-FFF2-40B4-BE49-F238E27FC236}">
              <a16:creationId xmlns:a16="http://schemas.microsoft.com/office/drawing/2014/main" id="{CDF55EC2-3CDD-4231-BA27-76F67ABAAFFB}"/>
            </a:ext>
          </a:extLst>
        </xdr:cNvPr>
        <xdr:cNvCxnSpPr/>
      </xdr:nvCxnSpPr>
      <xdr:spPr>
        <a:xfrm flipV="1">
          <a:off x="253999" y="5616726"/>
          <a:ext cx="2893787" cy="1058"/>
        </a:xfrm>
        <a:prstGeom prst="line">
          <a:avLst/>
        </a:prstGeom>
        <a:effectLst>
          <a:outerShdw blurRad="63500" sx="102000" sy="102000" algn="ctr" rotWithShape="0">
            <a:prstClr val="black">
              <a:alpha val="40000"/>
            </a:prstClr>
          </a:outerShdw>
        </a:effectLst>
      </xdr:spPr>
      <xdr:style>
        <a:lnRef idx="1">
          <a:schemeClr val="accent3"/>
        </a:lnRef>
        <a:fillRef idx="0">
          <a:schemeClr val="accent3"/>
        </a:fillRef>
        <a:effectRef idx="0">
          <a:schemeClr val="accent3"/>
        </a:effectRef>
        <a:fontRef idx="minor">
          <a:schemeClr val="tx1"/>
        </a:fontRef>
      </xdr:style>
    </xdr:cxnSp>
    <xdr:clientData/>
  </xdr:twoCellAnchor>
  <xdr:twoCellAnchor editAs="oneCell">
    <xdr:from>
      <xdr:col>0</xdr:col>
      <xdr:colOff>465667</xdr:colOff>
      <xdr:row>26</xdr:row>
      <xdr:rowOff>31750</xdr:rowOff>
    </xdr:from>
    <xdr:to>
      <xdr:col>1</xdr:col>
      <xdr:colOff>211666</xdr:colOff>
      <xdr:row>28</xdr:row>
      <xdr:rowOff>10583</xdr:rowOff>
    </xdr:to>
    <xdr:pic>
      <xdr:nvPicPr>
        <xdr:cNvPr id="84" name="Graphic 83" descr="Star with solid fill">
          <a:extLst>
            <a:ext uri="{FF2B5EF4-FFF2-40B4-BE49-F238E27FC236}">
              <a16:creationId xmlns:a16="http://schemas.microsoft.com/office/drawing/2014/main" id="{13AF216F-282E-F918-E2DC-D8D5DFE1B73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65667" y="5828393"/>
          <a:ext cx="358320" cy="359833"/>
        </a:xfrm>
        <a:prstGeom prst="rect">
          <a:avLst/>
        </a:prstGeom>
        <a:effectLst>
          <a:outerShdw blurRad="63500" sx="102000" sy="102000" algn="ctr" rotWithShape="0">
            <a:prstClr val="black">
              <a:alpha val="40000"/>
            </a:prstClr>
          </a:outerShdw>
        </a:effectLst>
      </xdr:spPr>
    </xdr:pic>
    <xdr:clientData/>
  </xdr:twoCellAnchor>
  <xdr:twoCellAnchor editAs="oneCell">
    <xdr:from>
      <xdr:col>0</xdr:col>
      <xdr:colOff>465667</xdr:colOff>
      <xdr:row>21</xdr:row>
      <xdr:rowOff>84667</xdr:rowOff>
    </xdr:from>
    <xdr:to>
      <xdr:col>1</xdr:col>
      <xdr:colOff>201084</xdr:colOff>
      <xdr:row>22</xdr:row>
      <xdr:rowOff>190501</xdr:rowOff>
    </xdr:to>
    <xdr:pic>
      <xdr:nvPicPr>
        <xdr:cNvPr id="86" name="Graphic 85" descr="Head with gears with solid fill">
          <a:extLst>
            <a:ext uri="{FF2B5EF4-FFF2-40B4-BE49-F238E27FC236}">
              <a16:creationId xmlns:a16="http://schemas.microsoft.com/office/drawing/2014/main" id="{D9D51AB6-0895-F2A3-0A3B-8E7B2DEBA09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65667" y="4711096"/>
          <a:ext cx="347738" cy="350762"/>
        </a:xfrm>
        <a:prstGeom prst="rect">
          <a:avLst/>
        </a:prstGeom>
        <a:effectLst>
          <a:outerShdw blurRad="63500" sx="102000" sy="102000" algn="ctr" rotWithShape="0">
            <a:prstClr val="black">
              <a:alpha val="40000"/>
            </a:prstClr>
          </a:outerShdw>
        </a:effectLst>
      </xdr:spPr>
    </xdr:pic>
    <xdr:clientData/>
  </xdr:twoCellAnchor>
  <xdr:twoCellAnchor>
    <xdr:from>
      <xdr:col>14</xdr:col>
      <xdr:colOff>582084</xdr:colOff>
      <xdr:row>25</xdr:row>
      <xdr:rowOff>148166</xdr:rowOff>
    </xdr:from>
    <xdr:to>
      <xdr:col>17</xdr:col>
      <xdr:colOff>222251</xdr:colOff>
      <xdr:row>33</xdr:row>
      <xdr:rowOff>63500</xdr:rowOff>
    </xdr:to>
    <xdr:sp macro="" textlink="rec">
      <xdr:nvSpPr>
        <xdr:cNvPr id="87" name="TextBox 86">
          <a:extLst>
            <a:ext uri="{FF2B5EF4-FFF2-40B4-BE49-F238E27FC236}">
              <a16:creationId xmlns:a16="http://schemas.microsoft.com/office/drawing/2014/main" id="{0EA512F7-4AA3-E4C4-317F-6730E3C5283E}"/>
            </a:ext>
          </a:extLst>
        </xdr:cNvPr>
        <xdr:cNvSpPr txBox="1"/>
      </xdr:nvSpPr>
      <xdr:spPr>
        <a:xfrm>
          <a:off x="10445751" y="5693833"/>
          <a:ext cx="2635250" cy="14393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A86538-7F73-4D93-BCF7-1863E1BD31DA}" type="TxLink">
            <a:rPr lang="en-US" sz="1400" b="0" i="0" u="none" strike="noStrike">
              <a:solidFill>
                <a:srgbClr val="000000"/>
              </a:solidFill>
              <a:latin typeface="Calibri"/>
              <a:cs typeface="Calibri"/>
            </a:rPr>
            <a:pPr/>
            <a:t>1. Strengthen Python and BI Tools coverage (Intermediate+)
2. Add a second Project Management contributor for workload balance
3. Build domain knowledge through independent research</a:t>
          </a:fld>
          <a:endParaRPr lang="en-ZA" sz="1400"/>
        </a:p>
      </xdr:txBody>
    </xdr:sp>
    <xdr:clientData/>
  </xdr:twoCellAnchor>
  <xdr:twoCellAnchor editAs="oneCell">
    <xdr:from>
      <xdr:col>6</xdr:col>
      <xdr:colOff>558801</xdr:colOff>
      <xdr:row>3</xdr:row>
      <xdr:rowOff>281517</xdr:rowOff>
    </xdr:from>
    <xdr:to>
      <xdr:col>10</xdr:col>
      <xdr:colOff>437958</xdr:colOff>
      <xdr:row>6</xdr:row>
      <xdr:rowOff>47625</xdr:rowOff>
    </xdr:to>
    <mc:AlternateContent xmlns:mc="http://schemas.openxmlformats.org/markup-compatibility/2006" xmlns:a14="http://schemas.microsoft.com/office/drawing/2010/main">
      <mc:Choice Requires="a14">
        <xdr:graphicFrame macro="">
          <xdr:nvGraphicFramePr>
            <xdr:cNvPr id="88" name="Team">
              <a:extLst>
                <a:ext uri="{FF2B5EF4-FFF2-40B4-BE49-F238E27FC236}">
                  <a16:creationId xmlns:a16="http://schemas.microsoft.com/office/drawing/2014/main" id="{8AFB0EC8-48FF-4B0B-8F36-6B6D79A6F8F8}"/>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5492751" y="1262592"/>
              <a:ext cx="2317557" cy="442383"/>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486835</xdr:colOff>
      <xdr:row>5</xdr:row>
      <xdr:rowOff>21167</xdr:rowOff>
    </xdr:from>
    <xdr:to>
      <xdr:col>2</xdr:col>
      <xdr:colOff>127000</xdr:colOff>
      <xdr:row>6</xdr:row>
      <xdr:rowOff>93580</xdr:rowOff>
    </xdr:to>
    <xdr:sp macro="" textlink="">
      <xdr:nvSpPr>
        <xdr:cNvPr id="89" name="TextBox 88">
          <a:extLst>
            <a:ext uri="{FF2B5EF4-FFF2-40B4-BE49-F238E27FC236}">
              <a16:creationId xmlns:a16="http://schemas.microsoft.com/office/drawing/2014/main" id="{F662089B-9271-B0BB-B48E-07D099D5D337}"/>
            </a:ext>
          </a:extLst>
        </xdr:cNvPr>
        <xdr:cNvSpPr txBox="1"/>
      </xdr:nvSpPr>
      <xdr:spPr>
        <a:xfrm>
          <a:off x="1099156" y="1490738"/>
          <a:ext cx="1531558" cy="2629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600"/>
            <a:t>Total Members</a:t>
          </a:r>
        </a:p>
        <a:p>
          <a:endParaRPr lang="en-ZA" sz="1100"/>
        </a:p>
      </xdr:txBody>
    </xdr:sp>
    <xdr:clientData/>
  </xdr:twoCellAnchor>
  <xdr:twoCellAnchor>
    <xdr:from>
      <xdr:col>1</xdr:col>
      <xdr:colOff>1017387</xdr:colOff>
      <xdr:row>6</xdr:row>
      <xdr:rowOff>123356</xdr:rowOff>
    </xdr:from>
    <xdr:to>
      <xdr:col>1</xdr:col>
      <xdr:colOff>1504534</xdr:colOff>
      <xdr:row>8</xdr:row>
      <xdr:rowOff>158750</xdr:rowOff>
    </xdr:to>
    <xdr:sp macro="" textlink="total_members">
      <xdr:nvSpPr>
        <xdr:cNvPr id="90" name="TextBox 89">
          <a:extLst>
            <a:ext uri="{FF2B5EF4-FFF2-40B4-BE49-F238E27FC236}">
              <a16:creationId xmlns:a16="http://schemas.microsoft.com/office/drawing/2014/main" id="{98F6266E-D741-B8A0-DBFD-FAEB54D969F9}"/>
            </a:ext>
          </a:extLst>
        </xdr:cNvPr>
        <xdr:cNvSpPr txBox="1"/>
      </xdr:nvSpPr>
      <xdr:spPr>
        <a:xfrm>
          <a:off x="1629708" y="1783427"/>
          <a:ext cx="487147" cy="4163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1F5416-BC16-4699-8043-C4434C1BB5DB}" type="TxLink">
            <a:rPr lang="en-US" sz="2800" b="1" i="0" u="none" strike="noStrike">
              <a:solidFill>
                <a:srgbClr val="000000"/>
              </a:solidFill>
              <a:latin typeface="Calibri"/>
              <a:cs typeface="Calibri"/>
            </a:rPr>
            <a:pPr/>
            <a:t>3</a:t>
          </a:fld>
          <a:endParaRPr lang="en-ZA" sz="2800" b="1"/>
        </a:p>
      </xdr:txBody>
    </xdr:sp>
    <xdr:clientData/>
  </xdr:twoCellAnchor>
  <xdr:twoCellAnchor>
    <xdr:from>
      <xdr:col>1</xdr:col>
      <xdr:colOff>449730</xdr:colOff>
      <xdr:row>10</xdr:row>
      <xdr:rowOff>10585</xdr:rowOff>
    </xdr:from>
    <xdr:to>
      <xdr:col>2</xdr:col>
      <xdr:colOff>164041</xdr:colOff>
      <xdr:row>11</xdr:row>
      <xdr:rowOff>127001</xdr:rowOff>
    </xdr:to>
    <xdr:sp macro="" textlink="">
      <xdr:nvSpPr>
        <xdr:cNvPr id="91" name="TextBox 90">
          <a:extLst>
            <a:ext uri="{FF2B5EF4-FFF2-40B4-BE49-F238E27FC236}">
              <a16:creationId xmlns:a16="http://schemas.microsoft.com/office/drawing/2014/main" id="{F82E4A86-75C7-A893-CAC7-BE0F15F56A35}"/>
            </a:ext>
          </a:extLst>
        </xdr:cNvPr>
        <xdr:cNvSpPr txBox="1"/>
      </xdr:nvSpPr>
      <xdr:spPr>
        <a:xfrm>
          <a:off x="1062051" y="2432656"/>
          <a:ext cx="1605704" cy="3069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600"/>
            <a:t>Available</a:t>
          </a:r>
          <a:r>
            <a:rPr lang="en-ZA" sz="1600" baseline="0"/>
            <a:t> Space</a:t>
          </a:r>
        </a:p>
        <a:p>
          <a:endParaRPr lang="en-ZA" sz="1600"/>
        </a:p>
        <a:p>
          <a:endParaRPr lang="en-ZA" sz="1100"/>
        </a:p>
      </xdr:txBody>
    </xdr:sp>
    <xdr:clientData/>
  </xdr:twoCellAnchor>
  <xdr:twoCellAnchor>
    <xdr:from>
      <xdr:col>0</xdr:col>
      <xdr:colOff>472331</xdr:colOff>
      <xdr:row>4</xdr:row>
      <xdr:rowOff>132293</xdr:rowOff>
    </xdr:from>
    <xdr:to>
      <xdr:col>2</xdr:col>
      <xdr:colOff>162984</xdr:colOff>
      <xdr:row>7</xdr:row>
      <xdr:rowOff>40601</xdr:rowOff>
    </xdr:to>
    <xdr:grpSp>
      <xdr:nvGrpSpPr>
        <xdr:cNvPr id="92" name="Group 91">
          <a:extLst>
            <a:ext uri="{FF2B5EF4-FFF2-40B4-BE49-F238E27FC236}">
              <a16:creationId xmlns:a16="http://schemas.microsoft.com/office/drawing/2014/main" id="{7A9A6FAB-5CF6-0F0D-1015-8DC6B5B6F026}"/>
            </a:ext>
          </a:extLst>
        </xdr:cNvPr>
        <xdr:cNvGrpSpPr/>
      </xdr:nvGrpSpPr>
      <xdr:grpSpPr>
        <a:xfrm>
          <a:off x="472331" y="1408643"/>
          <a:ext cx="2186203" cy="479808"/>
          <a:chOff x="441267" y="1381126"/>
          <a:chExt cx="2204085" cy="479808"/>
        </a:xfrm>
      </xdr:grpSpPr>
      <xdr:sp macro="" textlink="">
        <xdr:nvSpPr>
          <xdr:cNvPr id="93" name="Oval 92">
            <a:extLst>
              <a:ext uri="{FF2B5EF4-FFF2-40B4-BE49-F238E27FC236}">
                <a16:creationId xmlns:a16="http://schemas.microsoft.com/office/drawing/2014/main" id="{984F9D29-A3BA-A372-3538-1AEE1048C766}"/>
              </a:ext>
            </a:extLst>
          </xdr:cNvPr>
          <xdr:cNvSpPr/>
        </xdr:nvSpPr>
        <xdr:spPr>
          <a:xfrm>
            <a:off x="2123594" y="1381126"/>
            <a:ext cx="521758" cy="478366"/>
          </a:xfrm>
          <a:prstGeom prst="ellipse">
            <a:avLst/>
          </a:prstGeo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ZA" sz="1100">
              <a:solidFill>
                <a:schemeClr val="lt1"/>
              </a:solidFill>
              <a:latin typeface="+mn-lt"/>
              <a:ea typeface="+mn-ea"/>
              <a:cs typeface="+mn-cs"/>
            </a:endParaRPr>
          </a:p>
        </xdr:txBody>
      </xdr:sp>
      <xdr:pic>
        <xdr:nvPicPr>
          <xdr:cNvPr id="94" name="Graphic 93" descr="Users with solid fill">
            <a:extLst>
              <a:ext uri="{FF2B5EF4-FFF2-40B4-BE49-F238E27FC236}">
                <a16:creationId xmlns:a16="http://schemas.microsoft.com/office/drawing/2014/main" id="{EFEC416A-E9B5-14AC-181F-4E42C21BB4F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1267" y="1513031"/>
            <a:ext cx="338438" cy="347903"/>
          </a:xfrm>
          <a:prstGeom prst="rect">
            <a:avLst/>
          </a:prstGeom>
          <a:effectLst>
            <a:outerShdw blurRad="50800" dist="38100" dir="2700000" algn="tl" rotWithShape="0">
              <a:prstClr val="black">
                <a:alpha val="40000"/>
              </a:prstClr>
            </a:outerShdw>
          </a:effectLst>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56030</xdr:colOff>
      <xdr:row>2</xdr:row>
      <xdr:rowOff>11206</xdr:rowOff>
    </xdr:from>
    <xdr:to>
      <xdr:col>24</xdr:col>
      <xdr:colOff>390105</xdr:colOff>
      <xdr:row>2</xdr:row>
      <xdr:rowOff>22412</xdr:rowOff>
    </xdr:to>
    <xdr:cxnSp macro="">
      <xdr:nvCxnSpPr>
        <xdr:cNvPr id="2" name="Straight Connector 1">
          <a:extLst>
            <a:ext uri="{FF2B5EF4-FFF2-40B4-BE49-F238E27FC236}">
              <a16:creationId xmlns:a16="http://schemas.microsoft.com/office/drawing/2014/main" id="{69DB3B5B-DBB3-43BF-91E4-92DDEB5D6EDE}"/>
            </a:ext>
          </a:extLst>
        </xdr:cNvPr>
        <xdr:cNvCxnSpPr/>
      </xdr:nvCxnSpPr>
      <xdr:spPr>
        <a:xfrm>
          <a:off x="56030" y="795618"/>
          <a:ext cx="19215987" cy="11206"/>
        </a:xfrm>
        <a:prstGeom prst="line">
          <a:avLst/>
        </a:prstGeom>
        <a:effectLst>
          <a:outerShdw blurRad="50800" dist="38100" dir="5400000" algn="t" rotWithShape="0">
            <a:prstClr val="black">
              <a:alpha val="40000"/>
            </a:prstClr>
          </a:outerShdw>
        </a:effectLst>
      </xdr:spPr>
      <xdr:style>
        <a:lnRef idx="3">
          <a:schemeClr val="accent3"/>
        </a:lnRef>
        <a:fillRef idx="0">
          <a:schemeClr val="accent3"/>
        </a:fillRef>
        <a:effectRef idx="2">
          <a:schemeClr val="accent3"/>
        </a:effectRef>
        <a:fontRef idx="minor">
          <a:schemeClr val="tx1"/>
        </a:fontRef>
      </xdr:style>
    </xdr:cxnSp>
    <xdr:clientData/>
  </xdr:twoCellAnchor>
  <xdr:twoCellAnchor>
    <xdr:from>
      <xdr:col>2</xdr:col>
      <xdr:colOff>445123</xdr:colOff>
      <xdr:row>9</xdr:row>
      <xdr:rowOff>215153</xdr:rowOff>
    </xdr:from>
    <xdr:to>
      <xdr:col>2</xdr:col>
      <xdr:colOff>817344</xdr:colOff>
      <xdr:row>12</xdr:row>
      <xdr:rowOff>47935</xdr:rowOff>
    </xdr:to>
    <xdr:sp macro="" textlink="space">
      <xdr:nvSpPr>
        <xdr:cNvPr id="7" name="TextBox 6">
          <a:extLst>
            <a:ext uri="{FF2B5EF4-FFF2-40B4-BE49-F238E27FC236}">
              <a16:creationId xmlns:a16="http://schemas.microsoft.com/office/drawing/2014/main" id="{E502A598-B288-45B2-B885-86494666937E}"/>
            </a:ext>
          </a:extLst>
        </xdr:cNvPr>
        <xdr:cNvSpPr txBox="1"/>
      </xdr:nvSpPr>
      <xdr:spPr>
        <a:xfrm>
          <a:off x="1655358" y="2613212"/>
          <a:ext cx="372221" cy="4491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1B3599-283E-434A-8CD3-D48AFE3580AF}" type="TxLink">
            <a:rPr lang="en-US" sz="2400" b="1" i="0" u="none" strike="noStrike">
              <a:solidFill>
                <a:srgbClr val="000000"/>
              </a:solidFill>
              <a:latin typeface="Calibri"/>
              <a:cs typeface="Calibri"/>
            </a:rPr>
            <a:pPr/>
            <a:t>2</a:t>
          </a:fld>
          <a:endParaRPr lang="en-ZA" sz="2400" b="1"/>
        </a:p>
      </xdr:txBody>
    </xdr:sp>
    <xdr:clientData/>
  </xdr:twoCellAnchor>
  <xdr:twoCellAnchor>
    <xdr:from>
      <xdr:col>1</xdr:col>
      <xdr:colOff>441886</xdr:colOff>
      <xdr:row>13</xdr:row>
      <xdr:rowOff>22038</xdr:rowOff>
    </xdr:from>
    <xdr:to>
      <xdr:col>2</xdr:col>
      <xdr:colOff>1355086</xdr:colOff>
      <xdr:row>14</xdr:row>
      <xdr:rowOff>94338</xdr:rowOff>
    </xdr:to>
    <xdr:sp macro="" textlink="">
      <xdr:nvSpPr>
        <xdr:cNvPr id="11" name="TextBox 10">
          <a:extLst>
            <a:ext uri="{FF2B5EF4-FFF2-40B4-BE49-F238E27FC236}">
              <a16:creationId xmlns:a16="http://schemas.microsoft.com/office/drawing/2014/main" id="{E02C6A8E-31E3-444E-9021-3928171460C4}"/>
            </a:ext>
          </a:extLst>
        </xdr:cNvPr>
        <xdr:cNvSpPr txBox="1"/>
      </xdr:nvSpPr>
      <xdr:spPr>
        <a:xfrm>
          <a:off x="1047004" y="3271744"/>
          <a:ext cx="1518317" cy="262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600"/>
            <a:t>Skills</a:t>
          </a:r>
          <a:r>
            <a:rPr lang="en-ZA" sz="1600" baseline="0"/>
            <a:t> Covered</a:t>
          </a:r>
          <a:endParaRPr lang="en-ZA" sz="1600"/>
        </a:p>
        <a:p>
          <a:pPr algn="ctr"/>
          <a:endParaRPr lang="en-ZA" sz="1100"/>
        </a:p>
      </xdr:txBody>
    </xdr:sp>
    <xdr:clientData/>
  </xdr:twoCellAnchor>
  <xdr:twoCellAnchor>
    <xdr:from>
      <xdr:col>2</xdr:col>
      <xdr:colOff>438244</xdr:colOff>
      <xdr:row>14</xdr:row>
      <xdr:rowOff>172217</xdr:rowOff>
    </xdr:from>
    <xdr:to>
      <xdr:col>2</xdr:col>
      <xdr:colOff>924244</xdr:colOff>
      <xdr:row>17</xdr:row>
      <xdr:rowOff>18317</xdr:rowOff>
    </xdr:to>
    <xdr:sp macro="" textlink="skills_covered">
      <xdr:nvSpPr>
        <xdr:cNvPr id="12" name="TextBox 11">
          <a:extLst>
            <a:ext uri="{FF2B5EF4-FFF2-40B4-BE49-F238E27FC236}">
              <a16:creationId xmlns:a16="http://schemas.microsoft.com/office/drawing/2014/main" id="{F33881A8-016C-4EF5-8479-1A93E3F2FE61}"/>
            </a:ext>
          </a:extLst>
        </xdr:cNvPr>
        <xdr:cNvSpPr txBox="1"/>
      </xdr:nvSpPr>
      <xdr:spPr>
        <a:xfrm>
          <a:off x="1648479" y="3612423"/>
          <a:ext cx="486000" cy="417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FBB3238-785D-4201-8689-B7F8069B85AD}" type="TxLink">
            <a:rPr lang="en-US" sz="2400" b="1" i="0" u="none" strike="noStrike">
              <a:solidFill>
                <a:srgbClr val="000000"/>
              </a:solidFill>
              <a:latin typeface="Calibri"/>
              <a:cs typeface="Calibri"/>
            </a:rPr>
            <a:pPr algn="ctr"/>
            <a:t>8</a:t>
          </a:fld>
          <a:endParaRPr lang="en-ZA" sz="2400" b="1"/>
        </a:p>
      </xdr:txBody>
    </xdr:sp>
    <xdr:clientData/>
  </xdr:twoCellAnchor>
  <xdr:twoCellAnchor>
    <xdr:from>
      <xdr:col>2</xdr:col>
      <xdr:colOff>410015</xdr:colOff>
      <xdr:row>20</xdr:row>
      <xdr:rowOff>65682</xdr:rowOff>
    </xdr:from>
    <xdr:to>
      <xdr:col>2</xdr:col>
      <xdr:colOff>1056590</xdr:colOff>
      <xdr:row>23</xdr:row>
      <xdr:rowOff>13198</xdr:rowOff>
    </xdr:to>
    <xdr:sp macro="" textlink="avg_skill_count">
      <xdr:nvSpPr>
        <xdr:cNvPr id="13" name="TextBox 12">
          <a:extLst>
            <a:ext uri="{FF2B5EF4-FFF2-40B4-BE49-F238E27FC236}">
              <a16:creationId xmlns:a16="http://schemas.microsoft.com/office/drawing/2014/main" id="{73C6FCEB-69F6-4F11-8902-E54853FB2984}"/>
            </a:ext>
          </a:extLst>
        </xdr:cNvPr>
        <xdr:cNvSpPr txBox="1"/>
      </xdr:nvSpPr>
      <xdr:spPr>
        <a:xfrm>
          <a:off x="1620250" y="4693711"/>
          <a:ext cx="646575" cy="5190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915E07F-4A97-42C7-B176-19549CEC5D85}" type="TxLink">
            <a:rPr lang="en-US" sz="2400" b="1" i="0" u="none" strike="noStrike">
              <a:solidFill>
                <a:srgbClr val="000000"/>
              </a:solidFill>
              <a:latin typeface="Calibri"/>
              <a:cs typeface="Calibri"/>
            </a:rPr>
            <a:pPr algn="ctr"/>
            <a:t>3.7</a:t>
          </a:fld>
          <a:endParaRPr lang="en-ZA" sz="2400" b="1"/>
        </a:p>
      </xdr:txBody>
    </xdr:sp>
    <xdr:clientData/>
  </xdr:twoCellAnchor>
  <xdr:twoCellAnchor>
    <xdr:from>
      <xdr:col>1</xdr:col>
      <xdr:colOff>243256</xdr:colOff>
      <xdr:row>18</xdr:row>
      <xdr:rowOff>166609</xdr:rowOff>
    </xdr:from>
    <xdr:to>
      <xdr:col>3</xdr:col>
      <xdr:colOff>265589</xdr:colOff>
      <xdr:row>20</xdr:row>
      <xdr:rowOff>96034</xdr:rowOff>
    </xdr:to>
    <xdr:sp macro="" textlink="">
      <xdr:nvSpPr>
        <xdr:cNvPr id="14" name="TextBox 13">
          <a:extLst>
            <a:ext uri="{FF2B5EF4-FFF2-40B4-BE49-F238E27FC236}">
              <a16:creationId xmlns:a16="http://schemas.microsoft.com/office/drawing/2014/main" id="{C7966E63-2904-4AAC-AFB2-B5A52CB1781E}"/>
            </a:ext>
          </a:extLst>
        </xdr:cNvPr>
        <xdr:cNvSpPr txBox="1"/>
      </xdr:nvSpPr>
      <xdr:spPr>
        <a:xfrm>
          <a:off x="848374" y="4368815"/>
          <a:ext cx="2510039" cy="355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600" baseline="0"/>
            <a:t>Average Skill per Person</a:t>
          </a:r>
        </a:p>
        <a:p>
          <a:pPr algn="ctr"/>
          <a:endParaRPr lang="en-ZA" sz="1600" baseline="0"/>
        </a:p>
        <a:p>
          <a:pPr algn="ctr"/>
          <a:endParaRPr lang="en-ZA" sz="1600"/>
        </a:p>
        <a:p>
          <a:pPr algn="ctr"/>
          <a:endParaRPr lang="en-ZA" sz="1100"/>
        </a:p>
      </xdr:txBody>
    </xdr:sp>
    <xdr:clientData/>
  </xdr:twoCellAnchor>
  <xdr:twoCellAnchor>
    <xdr:from>
      <xdr:col>0</xdr:col>
      <xdr:colOff>392207</xdr:colOff>
      <xdr:row>24</xdr:row>
      <xdr:rowOff>156880</xdr:rowOff>
    </xdr:from>
    <xdr:to>
      <xdr:col>4</xdr:col>
      <xdr:colOff>89647</xdr:colOff>
      <xdr:row>29</xdr:row>
      <xdr:rowOff>22411</xdr:rowOff>
    </xdr:to>
    <xdr:sp macro="" textlink="avg_skills">
      <xdr:nvSpPr>
        <xdr:cNvPr id="16" name="TextBox 15">
          <a:extLst>
            <a:ext uri="{FF2B5EF4-FFF2-40B4-BE49-F238E27FC236}">
              <a16:creationId xmlns:a16="http://schemas.microsoft.com/office/drawing/2014/main" id="{D6150875-6C87-464E-A2E2-673243FE69C2}"/>
            </a:ext>
          </a:extLst>
        </xdr:cNvPr>
        <xdr:cNvSpPr txBox="1"/>
      </xdr:nvSpPr>
      <xdr:spPr>
        <a:xfrm>
          <a:off x="392207" y="5502086"/>
          <a:ext cx="3395381" cy="8180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3DC7F0-F93B-4214-AA4B-AE441537B0A4}" type="TxLink">
            <a:rPr lang="en-US" sz="2000" b="1" i="0" u="none" strike="noStrike">
              <a:solidFill>
                <a:srgbClr val="000000"/>
              </a:solidFill>
              <a:latin typeface="Calibri"/>
              <a:cs typeface="Calibri"/>
            </a:rPr>
            <a:pPr algn="ctr"/>
            <a:t>Spreadsheets &amp; Presentation</a:t>
          </a:fld>
          <a:endParaRPr lang="en-ZA" sz="2000" b="1"/>
        </a:p>
      </xdr:txBody>
    </xdr:sp>
    <xdr:clientData/>
  </xdr:twoCellAnchor>
  <xdr:twoCellAnchor>
    <xdr:from>
      <xdr:col>1</xdr:col>
      <xdr:colOff>532621</xdr:colOff>
      <xdr:row>23</xdr:row>
      <xdr:rowOff>70333</xdr:rowOff>
    </xdr:from>
    <xdr:to>
      <xdr:col>2</xdr:col>
      <xdr:colOff>1452420</xdr:colOff>
      <xdr:row>25</xdr:row>
      <xdr:rowOff>18210</xdr:rowOff>
    </xdr:to>
    <xdr:sp macro="" textlink="">
      <xdr:nvSpPr>
        <xdr:cNvPr id="17" name="TextBox 16">
          <a:extLst>
            <a:ext uri="{FF2B5EF4-FFF2-40B4-BE49-F238E27FC236}">
              <a16:creationId xmlns:a16="http://schemas.microsoft.com/office/drawing/2014/main" id="{1BD1382E-F63B-4BC8-8898-39C94A3E9294}"/>
            </a:ext>
          </a:extLst>
        </xdr:cNvPr>
        <xdr:cNvSpPr txBox="1"/>
      </xdr:nvSpPr>
      <xdr:spPr>
        <a:xfrm>
          <a:off x="1137739" y="5269862"/>
          <a:ext cx="1524916" cy="3288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600"/>
            <a:t>Top Skills</a:t>
          </a:r>
        </a:p>
      </xdr:txBody>
    </xdr:sp>
    <xdr:clientData/>
  </xdr:twoCellAnchor>
  <xdr:twoCellAnchor>
    <xdr:from>
      <xdr:col>4</xdr:col>
      <xdr:colOff>190921</xdr:colOff>
      <xdr:row>10</xdr:row>
      <xdr:rowOff>173691</xdr:rowOff>
    </xdr:from>
    <xdr:to>
      <xdr:col>12</xdr:col>
      <xdr:colOff>381420</xdr:colOff>
      <xdr:row>28</xdr:row>
      <xdr:rowOff>95109</xdr:rowOff>
    </xdr:to>
    <xdr:graphicFrame macro="">
      <xdr:nvGraphicFramePr>
        <xdr:cNvPr id="18" name="Chart 17">
          <a:extLst>
            <a:ext uri="{FF2B5EF4-FFF2-40B4-BE49-F238E27FC236}">
              <a16:creationId xmlns:a16="http://schemas.microsoft.com/office/drawing/2014/main" id="{43EBD82B-9B02-41D8-98B0-026C23BF0D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75623</xdr:colOff>
      <xdr:row>2</xdr:row>
      <xdr:rowOff>115469</xdr:rowOff>
    </xdr:from>
    <xdr:to>
      <xdr:col>18</xdr:col>
      <xdr:colOff>255539</xdr:colOff>
      <xdr:row>15</xdr:row>
      <xdr:rowOff>104884</xdr:rowOff>
    </xdr:to>
    <xdr:graphicFrame macro="">
      <xdr:nvGraphicFramePr>
        <xdr:cNvPr id="19" name="Chart 18">
          <a:extLst>
            <a:ext uri="{FF2B5EF4-FFF2-40B4-BE49-F238E27FC236}">
              <a16:creationId xmlns:a16="http://schemas.microsoft.com/office/drawing/2014/main" id="{087F9847-643F-4F8C-8011-D6A3C80CEA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371895</xdr:colOff>
      <xdr:row>8</xdr:row>
      <xdr:rowOff>149663</xdr:rowOff>
    </xdr:from>
    <xdr:to>
      <xdr:col>1</xdr:col>
      <xdr:colOff>304676</xdr:colOff>
      <xdr:row>11</xdr:row>
      <xdr:rowOff>67736</xdr:rowOff>
    </xdr:to>
    <xdr:grpSp>
      <xdr:nvGrpSpPr>
        <xdr:cNvPr id="40" name="Group 39">
          <a:extLst>
            <a:ext uri="{FF2B5EF4-FFF2-40B4-BE49-F238E27FC236}">
              <a16:creationId xmlns:a16="http://schemas.microsoft.com/office/drawing/2014/main" id="{9563A275-DAD5-4C51-18CC-B95D9047332C}"/>
            </a:ext>
          </a:extLst>
        </xdr:cNvPr>
        <xdr:cNvGrpSpPr/>
      </xdr:nvGrpSpPr>
      <xdr:grpSpPr>
        <a:xfrm>
          <a:off x="371895" y="2312398"/>
          <a:ext cx="537899" cy="579220"/>
          <a:chOff x="181828" y="2415420"/>
          <a:chExt cx="517525" cy="478366"/>
        </a:xfrm>
      </xdr:grpSpPr>
      <xdr:sp macro="" textlink="">
        <xdr:nvSpPr>
          <xdr:cNvPr id="22" name="Oval 21">
            <a:extLst>
              <a:ext uri="{FF2B5EF4-FFF2-40B4-BE49-F238E27FC236}">
                <a16:creationId xmlns:a16="http://schemas.microsoft.com/office/drawing/2014/main" id="{44EB6DC1-F368-42C8-8789-0DFDF6A18C2D}"/>
              </a:ext>
            </a:extLst>
          </xdr:cNvPr>
          <xdr:cNvSpPr/>
        </xdr:nvSpPr>
        <xdr:spPr>
          <a:xfrm>
            <a:off x="181828" y="2415420"/>
            <a:ext cx="517525" cy="478366"/>
          </a:xfrm>
          <a:prstGeom prst="ellipse">
            <a:avLst/>
          </a:prstGeo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pic>
        <xdr:nvPicPr>
          <xdr:cNvPr id="25" name="Graphic 24" descr="Follow with solid fill">
            <a:extLst>
              <a:ext uri="{FF2B5EF4-FFF2-40B4-BE49-F238E27FC236}">
                <a16:creationId xmlns:a16="http://schemas.microsoft.com/office/drawing/2014/main" id="{A4BD2334-C5C3-43C1-84DF-60DECC6D191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4068" y="2491417"/>
            <a:ext cx="292101" cy="296335"/>
          </a:xfrm>
          <a:prstGeom prst="rect">
            <a:avLst/>
          </a:prstGeom>
          <a:effectLst>
            <a:outerShdw blurRad="50800" dist="38100" dir="5400000" algn="t" rotWithShape="0">
              <a:prstClr val="black">
                <a:alpha val="40000"/>
              </a:prstClr>
            </a:outerShdw>
          </a:effectLst>
        </xdr:spPr>
      </xdr:pic>
    </xdr:grpSp>
    <xdr:clientData/>
  </xdr:twoCellAnchor>
  <xdr:twoCellAnchor>
    <xdr:from>
      <xdr:col>0</xdr:col>
      <xdr:colOff>324971</xdr:colOff>
      <xdr:row>13</xdr:row>
      <xdr:rowOff>145241</xdr:rowOff>
    </xdr:from>
    <xdr:to>
      <xdr:col>1</xdr:col>
      <xdr:colOff>259853</xdr:colOff>
      <xdr:row>16</xdr:row>
      <xdr:rowOff>158565</xdr:rowOff>
    </xdr:to>
    <xdr:grpSp>
      <xdr:nvGrpSpPr>
        <xdr:cNvPr id="42" name="Group 41">
          <a:extLst>
            <a:ext uri="{FF2B5EF4-FFF2-40B4-BE49-F238E27FC236}">
              <a16:creationId xmlns:a16="http://schemas.microsoft.com/office/drawing/2014/main" id="{BA5DEE8E-D8D2-2017-5EEE-13BE649F6D2B}"/>
            </a:ext>
          </a:extLst>
        </xdr:cNvPr>
        <xdr:cNvGrpSpPr/>
      </xdr:nvGrpSpPr>
      <xdr:grpSpPr>
        <a:xfrm>
          <a:off x="324971" y="3394947"/>
          <a:ext cx="540000" cy="584824"/>
          <a:chOff x="357247" y="3474150"/>
          <a:chExt cx="517525" cy="478366"/>
        </a:xfrm>
      </xdr:grpSpPr>
      <xdr:sp macro="" textlink="">
        <xdr:nvSpPr>
          <xdr:cNvPr id="23" name="Oval 22">
            <a:extLst>
              <a:ext uri="{FF2B5EF4-FFF2-40B4-BE49-F238E27FC236}">
                <a16:creationId xmlns:a16="http://schemas.microsoft.com/office/drawing/2014/main" id="{0BFF16D4-44A3-4B6B-B699-955CEB45BA19}"/>
              </a:ext>
            </a:extLst>
          </xdr:cNvPr>
          <xdr:cNvSpPr/>
        </xdr:nvSpPr>
        <xdr:spPr>
          <a:xfrm>
            <a:off x="357247" y="3474150"/>
            <a:ext cx="517525" cy="478366"/>
          </a:xfrm>
          <a:prstGeom prst="ellipse">
            <a:avLst/>
          </a:prstGeo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pic>
        <xdr:nvPicPr>
          <xdr:cNvPr id="27" name="Graphic 26" descr="Single gear with solid fill">
            <a:extLst>
              <a:ext uri="{FF2B5EF4-FFF2-40B4-BE49-F238E27FC236}">
                <a16:creationId xmlns:a16="http://schemas.microsoft.com/office/drawing/2014/main" id="{A1AB14B2-AED0-40BB-9FFD-4BE77F5C1C2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33448" y="3530601"/>
            <a:ext cx="391583" cy="395816"/>
          </a:xfrm>
          <a:prstGeom prst="rect">
            <a:avLst/>
          </a:prstGeom>
          <a:effectLst>
            <a:outerShdw blurRad="63500" sx="102000" sy="102000" algn="ctr" rotWithShape="0">
              <a:prstClr val="black">
                <a:alpha val="40000"/>
              </a:prstClr>
            </a:outerShdw>
          </a:effectLst>
        </xdr:spPr>
      </xdr:pic>
    </xdr:grpSp>
    <xdr:clientData/>
  </xdr:twoCellAnchor>
  <xdr:twoCellAnchor>
    <xdr:from>
      <xdr:col>0</xdr:col>
      <xdr:colOff>358588</xdr:colOff>
      <xdr:row>23</xdr:row>
      <xdr:rowOff>175559</xdr:rowOff>
    </xdr:from>
    <xdr:to>
      <xdr:col>1</xdr:col>
      <xdr:colOff>293470</xdr:colOff>
      <xdr:row>26</xdr:row>
      <xdr:rowOff>144059</xdr:rowOff>
    </xdr:to>
    <xdr:grpSp>
      <xdr:nvGrpSpPr>
        <xdr:cNvPr id="43" name="Group 42">
          <a:extLst>
            <a:ext uri="{FF2B5EF4-FFF2-40B4-BE49-F238E27FC236}">
              <a16:creationId xmlns:a16="http://schemas.microsoft.com/office/drawing/2014/main" id="{41C4AA59-D1C6-5148-27C3-E97E503F11FF}"/>
            </a:ext>
          </a:extLst>
        </xdr:cNvPr>
        <xdr:cNvGrpSpPr/>
      </xdr:nvGrpSpPr>
      <xdr:grpSpPr>
        <a:xfrm>
          <a:off x="358588" y="5330265"/>
          <a:ext cx="540000" cy="540000"/>
          <a:chOff x="372533" y="5702300"/>
          <a:chExt cx="517525" cy="478366"/>
        </a:xfrm>
      </xdr:grpSpPr>
      <xdr:sp macro="" textlink="">
        <xdr:nvSpPr>
          <xdr:cNvPr id="24" name="Oval 23">
            <a:extLst>
              <a:ext uri="{FF2B5EF4-FFF2-40B4-BE49-F238E27FC236}">
                <a16:creationId xmlns:a16="http://schemas.microsoft.com/office/drawing/2014/main" id="{6AD409D5-348D-447C-A913-BE0FD4C9173D}"/>
              </a:ext>
            </a:extLst>
          </xdr:cNvPr>
          <xdr:cNvSpPr/>
        </xdr:nvSpPr>
        <xdr:spPr>
          <a:xfrm>
            <a:off x="372533" y="5702300"/>
            <a:ext cx="517525" cy="478366"/>
          </a:xfrm>
          <a:prstGeom prst="ellipse">
            <a:avLst/>
          </a:prstGeo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pic>
        <xdr:nvPicPr>
          <xdr:cNvPr id="29" name="Graphic 28" descr="Star with solid fill">
            <a:extLst>
              <a:ext uri="{FF2B5EF4-FFF2-40B4-BE49-F238E27FC236}">
                <a16:creationId xmlns:a16="http://schemas.microsoft.com/office/drawing/2014/main" id="{641EBA4C-6286-4D1C-BAF1-8D5628CC0AD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65667" y="5784850"/>
            <a:ext cx="355599" cy="359833"/>
          </a:xfrm>
          <a:prstGeom prst="rect">
            <a:avLst/>
          </a:prstGeom>
          <a:effectLst>
            <a:outerShdw blurRad="63500" sx="102000" sy="102000" algn="ctr" rotWithShape="0">
              <a:prstClr val="black">
                <a:alpha val="40000"/>
              </a:prstClr>
            </a:outerShdw>
          </a:effectLst>
        </xdr:spPr>
      </xdr:pic>
    </xdr:grpSp>
    <xdr:clientData/>
  </xdr:twoCellAnchor>
  <xdr:twoCellAnchor>
    <xdr:from>
      <xdr:col>0</xdr:col>
      <xdr:colOff>336177</xdr:colOff>
      <xdr:row>19</xdr:row>
      <xdr:rowOff>17432</xdr:rowOff>
    </xdr:from>
    <xdr:to>
      <xdr:col>1</xdr:col>
      <xdr:colOff>271059</xdr:colOff>
      <xdr:row>21</xdr:row>
      <xdr:rowOff>173630</xdr:rowOff>
    </xdr:to>
    <xdr:grpSp>
      <xdr:nvGrpSpPr>
        <xdr:cNvPr id="41" name="Group 40">
          <a:extLst>
            <a:ext uri="{FF2B5EF4-FFF2-40B4-BE49-F238E27FC236}">
              <a16:creationId xmlns:a16="http://schemas.microsoft.com/office/drawing/2014/main" id="{E6EADCD0-4E94-0329-2EC8-22CE4EFCC249}"/>
            </a:ext>
          </a:extLst>
        </xdr:cNvPr>
        <xdr:cNvGrpSpPr/>
      </xdr:nvGrpSpPr>
      <xdr:grpSpPr>
        <a:xfrm>
          <a:off x="336177" y="4410138"/>
          <a:ext cx="540000" cy="537198"/>
          <a:chOff x="370417" y="4551892"/>
          <a:chExt cx="517525" cy="621241"/>
        </a:xfrm>
      </xdr:grpSpPr>
      <xdr:sp macro="" textlink="">
        <xdr:nvSpPr>
          <xdr:cNvPr id="26" name="Oval 25">
            <a:extLst>
              <a:ext uri="{FF2B5EF4-FFF2-40B4-BE49-F238E27FC236}">
                <a16:creationId xmlns:a16="http://schemas.microsoft.com/office/drawing/2014/main" id="{93EB20AD-1ACD-4290-B37F-CFAB21ED6D33}"/>
              </a:ext>
            </a:extLst>
          </xdr:cNvPr>
          <xdr:cNvSpPr/>
        </xdr:nvSpPr>
        <xdr:spPr>
          <a:xfrm>
            <a:off x="370417" y="4551892"/>
            <a:ext cx="517525" cy="621241"/>
          </a:xfrm>
          <a:prstGeom prst="ellipse">
            <a:avLst/>
          </a:prstGeo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pic>
        <xdr:nvPicPr>
          <xdr:cNvPr id="30" name="Graphic 29" descr="Head with gears with solid fill">
            <a:extLst>
              <a:ext uri="{FF2B5EF4-FFF2-40B4-BE49-F238E27FC236}">
                <a16:creationId xmlns:a16="http://schemas.microsoft.com/office/drawing/2014/main" id="{5EF944CB-3EC1-4C22-A7C4-664EC08A115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65667" y="4694767"/>
            <a:ext cx="345017" cy="343959"/>
          </a:xfrm>
          <a:prstGeom prst="rect">
            <a:avLst/>
          </a:prstGeom>
          <a:effectLst>
            <a:outerShdw blurRad="63500" sx="102000" sy="102000" algn="ctr" rotWithShape="0">
              <a:prstClr val="black">
                <a:alpha val="40000"/>
              </a:prstClr>
            </a:outerShdw>
          </a:effectLst>
        </xdr:spPr>
      </xdr:pic>
    </xdr:grpSp>
    <xdr:clientData/>
  </xdr:twoCellAnchor>
  <xdr:twoCellAnchor>
    <xdr:from>
      <xdr:col>12</xdr:col>
      <xdr:colOff>325049</xdr:colOff>
      <xdr:row>19</xdr:row>
      <xdr:rowOff>90736</xdr:rowOff>
    </xdr:from>
    <xdr:to>
      <xdr:col>16</xdr:col>
      <xdr:colOff>514303</xdr:colOff>
      <xdr:row>27</xdr:row>
      <xdr:rowOff>78441</xdr:rowOff>
    </xdr:to>
    <xdr:sp macro="" textlink="rec">
      <xdr:nvSpPr>
        <xdr:cNvPr id="31" name="TextBox 30">
          <a:extLst>
            <a:ext uri="{FF2B5EF4-FFF2-40B4-BE49-F238E27FC236}">
              <a16:creationId xmlns:a16="http://schemas.microsoft.com/office/drawing/2014/main" id="{7D8D2A32-7BD7-476B-9A4B-9B6256830ED5}"/>
            </a:ext>
          </a:extLst>
        </xdr:cNvPr>
        <xdr:cNvSpPr txBox="1"/>
      </xdr:nvSpPr>
      <xdr:spPr>
        <a:xfrm>
          <a:off x="9984520" y="4483442"/>
          <a:ext cx="3763930" cy="15117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A86538-7F73-4D93-BCF7-1863E1BD31DA}" type="TxLink">
            <a:rPr lang="en-US" sz="1400" b="0" i="0" u="none" strike="noStrike">
              <a:solidFill>
                <a:srgbClr val="000000"/>
              </a:solidFill>
              <a:latin typeface="Calibri"/>
              <a:cs typeface="Calibri"/>
            </a:rPr>
            <a:pPr/>
            <a:t>1. Strengthen Python and BI Tools coverage (Intermediate+)
2. Add a second Project Management contributor for workload balance
3. Build domain knowledge through independent research</a:t>
          </a:fld>
          <a:endParaRPr lang="en-ZA" sz="1400"/>
        </a:p>
      </xdr:txBody>
    </xdr:sp>
    <xdr:clientData/>
  </xdr:twoCellAnchor>
  <xdr:twoCellAnchor editAs="absolute">
    <xdr:from>
      <xdr:col>6</xdr:col>
      <xdr:colOff>112059</xdr:colOff>
      <xdr:row>2</xdr:row>
      <xdr:rowOff>130097</xdr:rowOff>
    </xdr:from>
    <xdr:to>
      <xdr:col>11</xdr:col>
      <xdr:colOff>358588</xdr:colOff>
      <xdr:row>4</xdr:row>
      <xdr:rowOff>179293</xdr:rowOff>
    </xdr:to>
    <mc:AlternateContent xmlns:mc="http://schemas.openxmlformats.org/markup-compatibility/2006" xmlns:a14="http://schemas.microsoft.com/office/drawing/2010/main">
      <mc:Choice Requires="a14">
        <xdr:graphicFrame macro="">
          <xdr:nvGraphicFramePr>
            <xdr:cNvPr id="32" name="Team 1">
              <a:extLst>
                <a:ext uri="{FF2B5EF4-FFF2-40B4-BE49-F238E27FC236}">
                  <a16:creationId xmlns:a16="http://schemas.microsoft.com/office/drawing/2014/main" id="{7ECE7A21-2617-412D-A771-77893A3ADBA1}"/>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Team 1"/>
            </a:graphicData>
          </a:graphic>
        </xdr:graphicFrame>
      </mc:Choice>
      <mc:Fallback xmlns="">
        <xdr:sp macro="" textlink="">
          <xdr:nvSpPr>
            <xdr:cNvPr id="0" name=""/>
            <xdr:cNvSpPr>
              <a:spLocks noTextEdit="1"/>
            </xdr:cNvSpPr>
          </xdr:nvSpPr>
          <xdr:spPr>
            <a:xfrm>
              <a:off x="5020235" y="914509"/>
              <a:ext cx="4392706" cy="53104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xdr:col>
      <xdr:colOff>434727</xdr:colOff>
      <xdr:row>4</xdr:row>
      <xdr:rowOff>63049</xdr:rowOff>
    </xdr:from>
    <xdr:to>
      <xdr:col>2</xdr:col>
      <xdr:colOff>1355725</xdr:colOff>
      <xdr:row>5</xdr:row>
      <xdr:rowOff>135462</xdr:rowOff>
    </xdr:to>
    <xdr:sp macro="" textlink="">
      <xdr:nvSpPr>
        <xdr:cNvPr id="33" name="TextBox 32">
          <a:extLst>
            <a:ext uri="{FF2B5EF4-FFF2-40B4-BE49-F238E27FC236}">
              <a16:creationId xmlns:a16="http://schemas.microsoft.com/office/drawing/2014/main" id="{74BD0D66-8D8B-49F4-8D3A-02F148F17959}"/>
            </a:ext>
          </a:extLst>
        </xdr:cNvPr>
        <xdr:cNvSpPr txBox="1"/>
      </xdr:nvSpPr>
      <xdr:spPr>
        <a:xfrm>
          <a:off x="1039845" y="1329314"/>
          <a:ext cx="1526115" cy="2629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600"/>
            <a:t>Total Members</a:t>
          </a:r>
        </a:p>
        <a:p>
          <a:endParaRPr lang="en-ZA" sz="1100"/>
        </a:p>
      </xdr:txBody>
    </xdr:sp>
    <xdr:clientData/>
  </xdr:twoCellAnchor>
  <xdr:twoCellAnchor>
    <xdr:from>
      <xdr:col>2</xdr:col>
      <xdr:colOff>512562</xdr:colOff>
      <xdr:row>5</xdr:row>
      <xdr:rowOff>190031</xdr:rowOff>
    </xdr:from>
    <xdr:to>
      <xdr:col>2</xdr:col>
      <xdr:colOff>999709</xdr:colOff>
      <xdr:row>8</xdr:row>
      <xdr:rowOff>34925</xdr:rowOff>
    </xdr:to>
    <xdr:sp macro="" textlink="total_members">
      <xdr:nvSpPr>
        <xdr:cNvPr id="34" name="TextBox 33">
          <a:extLst>
            <a:ext uri="{FF2B5EF4-FFF2-40B4-BE49-F238E27FC236}">
              <a16:creationId xmlns:a16="http://schemas.microsoft.com/office/drawing/2014/main" id="{87B0B8DA-8785-434E-8B3E-C97DD1B88907}"/>
            </a:ext>
          </a:extLst>
        </xdr:cNvPr>
        <xdr:cNvSpPr txBox="1"/>
      </xdr:nvSpPr>
      <xdr:spPr>
        <a:xfrm>
          <a:off x="1122162" y="1656881"/>
          <a:ext cx="487147" cy="4163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1F5416-BC16-4699-8043-C4434C1BB5DB}" type="TxLink">
            <a:rPr lang="en-US" sz="2400" b="1" i="0" u="none" strike="noStrike">
              <a:solidFill>
                <a:srgbClr val="000000"/>
              </a:solidFill>
              <a:latin typeface="Calibri"/>
              <a:cs typeface="Calibri"/>
            </a:rPr>
            <a:pPr/>
            <a:t>3</a:t>
          </a:fld>
          <a:endParaRPr lang="en-ZA" sz="2400" b="1"/>
        </a:p>
      </xdr:txBody>
    </xdr:sp>
    <xdr:clientData/>
  </xdr:twoCellAnchor>
  <xdr:twoCellAnchor>
    <xdr:from>
      <xdr:col>1</xdr:col>
      <xdr:colOff>461496</xdr:colOff>
      <xdr:row>8</xdr:row>
      <xdr:rowOff>67236</xdr:rowOff>
    </xdr:from>
    <xdr:to>
      <xdr:col>2</xdr:col>
      <xdr:colOff>1456640</xdr:colOff>
      <xdr:row>9</xdr:row>
      <xdr:rowOff>184712</xdr:rowOff>
    </xdr:to>
    <xdr:sp macro="" textlink="">
      <xdr:nvSpPr>
        <xdr:cNvPr id="35" name="TextBox 34">
          <a:extLst>
            <a:ext uri="{FF2B5EF4-FFF2-40B4-BE49-F238E27FC236}">
              <a16:creationId xmlns:a16="http://schemas.microsoft.com/office/drawing/2014/main" id="{6CAE80E8-C845-4645-8A1E-58D261ED1E2F}"/>
            </a:ext>
          </a:extLst>
        </xdr:cNvPr>
        <xdr:cNvSpPr txBox="1"/>
      </xdr:nvSpPr>
      <xdr:spPr>
        <a:xfrm>
          <a:off x="1066614" y="2229971"/>
          <a:ext cx="1600261" cy="352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600"/>
            <a:t>Available</a:t>
          </a:r>
          <a:r>
            <a:rPr lang="en-ZA" sz="1600" baseline="0"/>
            <a:t> Space</a:t>
          </a:r>
        </a:p>
        <a:p>
          <a:endParaRPr lang="en-ZA" sz="1600"/>
        </a:p>
        <a:p>
          <a:endParaRPr lang="en-ZA" sz="1100"/>
        </a:p>
      </xdr:txBody>
    </xdr:sp>
    <xdr:clientData/>
  </xdr:twoCellAnchor>
  <xdr:twoCellAnchor>
    <xdr:from>
      <xdr:col>0</xdr:col>
      <xdr:colOff>369794</xdr:colOff>
      <xdr:row>4</xdr:row>
      <xdr:rowOff>86909</xdr:rowOff>
    </xdr:from>
    <xdr:to>
      <xdr:col>1</xdr:col>
      <xdr:colOff>304676</xdr:colOff>
      <xdr:row>6</xdr:row>
      <xdr:rowOff>201086</xdr:rowOff>
    </xdr:to>
    <xdr:grpSp>
      <xdr:nvGrpSpPr>
        <xdr:cNvPr id="36" name="Group 35">
          <a:extLst>
            <a:ext uri="{FF2B5EF4-FFF2-40B4-BE49-F238E27FC236}">
              <a16:creationId xmlns:a16="http://schemas.microsoft.com/office/drawing/2014/main" id="{F6A441B6-BED1-428F-9D5E-C580D9CBE86D}"/>
            </a:ext>
          </a:extLst>
        </xdr:cNvPr>
        <xdr:cNvGrpSpPr/>
      </xdr:nvGrpSpPr>
      <xdr:grpSpPr>
        <a:xfrm>
          <a:off x="369794" y="1353174"/>
          <a:ext cx="540000" cy="540000"/>
          <a:chOff x="356659" y="1447801"/>
          <a:chExt cx="521758" cy="478366"/>
        </a:xfrm>
      </xdr:grpSpPr>
      <xdr:sp macro="" textlink="">
        <xdr:nvSpPr>
          <xdr:cNvPr id="37" name="Oval 36">
            <a:extLst>
              <a:ext uri="{FF2B5EF4-FFF2-40B4-BE49-F238E27FC236}">
                <a16:creationId xmlns:a16="http://schemas.microsoft.com/office/drawing/2014/main" id="{7DE1C679-5A0B-C6D0-0B1E-96212D9E6719}"/>
              </a:ext>
            </a:extLst>
          </xdr:cNvPr>
          <xdr:cNvSpPr/>
        </xdr:nvSpPr>
        <xdr:spPr>
          <a:xfrm>
            <a:off x="356659" y="1447801"/>
            <a:ext cx="521758" cy="478366"/>
          </a:xfrm>
          <a:prstGeom prst="ellipse">
            <a:avLst/>
          </a:prstGeo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pic>
        <xdr:nvPicPr>
          <xdr:cNvPr id="38" name="Graphic 37" descr="Users with solid fill">
            <a:extLst>
              <a:ext uri="{FF2B5EF4-FFF2-40B4-BE49-F238E27FC236}">
                <a16:creationId xmlns:a16="http://schemas.microsoft.com/office/drawing/2014/main" id="{65F8B5E0-A789-A405-4E07-FF4440FB0F2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41267" y="1513031"/>
            <a:ext cx="338438" cy="347903"/>
          </a:xfrm>
          <a:prstGeom prst="rect">
            <a:avLst/>
          </a:prstGeom>
          <a:effectLst>
            <a:outerShdw blurRad="50800" dist="38100" dir="2700000" algn="tl" rotWithShape="0">
              <a:prstClr val="black">
                <a:alpha val="40000"/>
              </a:prstClr>
            </a:outerShdw>
          </a:effectLst>
        </xdr:spPr>
      </xdr:pic>
    </xdr:grpSp>
    <xdr:clientData/>
  </xdr:twoCellAnchor>
  <xdr:twoCellAnchor>
    <xdr:from>
      <xdr:col>1</xdr:col>
      <xdr:colOff>65555</xdr:colOff>
      <xdr:row>2</xdr:row>
      <xdr:rowOff>161925</xdr:rowOff>
    </xdr:from>
    <xdr:to>
      <xdr:col>3</xdr:col>
      <xdr:colOff>275105</xdr:colOff>
      <xdr:row>26</xdr:row>
      <xdr:rowOff>152400</xdr:rowOff>
    </xdr:to>
    <xdr:sp macro="" textlink="">
      <xdr:nvSpPr>
        <xdr:cNvPr id="64" name="Rectangle: Rounded Corners 63">
          <a:extLst>
            <a:ext uri="{FF2B5EF4-FFF2-40B4-BE49-F238E27FC236}">
              <a16:creationId xmlns:a16="http://schemas.microsoft.com/office/drawing/2014/main" id="{2904DAE6-AC0C-2DA4-C727-79315E3D9783}"/>
            </a:ext>
          </a:extLst>
        </xdr:cNvPr>
        <xdr:cNvSpPr/>
      </xdr:nvSpPr>
      <xdr:spPr>
        <a:xfrm>
          <a:off x="670673" y="946337"/>
          <a:ext cx="2697256" cy="4932269"/>
        </a:xfrm>
        <a:prstGeom prst="roundRect">
          <a:avLst/>
        </a:prstGeom>
        <a:no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editAs="absolute">
    <xdr:from>
      <xdr:col>15</xdr:col>
      <xdr:colOff>1714500</xdr:colOff>
      <xdr:row>2</xdr:row>
      <xdr:rowOff>134473</xdr:rowOff>
    </xdr:from>
    <xdr:to>
      <xdr:col>17</xdr:col>
      <xdr:colOff>67236</xdr:colOff>
      <xdr:row>13</xdr:row>
      <xdr:rowOff>89648</xdr:rowOff>
    </xdr:to>
    <mc:AlternateContent xmlns:mc="http://schemas.openxmlformats.org/markup-compatibility/2006" xmlns:a14="http://schemas.microsoft.com/office/drawing/2010/main">
      <mc:Choice Requires="a14">
        <xdr:graphicFrame macro="">
          <xdr:nvGraphicFramePr>
            <xdr:cNvPr id="67" name="skill">
              <a:extLst>
                <a:ext uri="{FF2B5EF4-FFF2-40B4-BE49-F238E27FC236}">
                  <a16:creationId xmlns:a16="http://schemas.microsoft.com/office/drawing/2014/main" id="{618FEBA2-A36D-4C20-88E9-9C7A34411570}"/>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skill"/>
            </a:graphicData>
          </a:graphic>
        </xdr:graphicFrame>
      </mc:Choice>
      <mc:Fallback xmlns="">
        <xdr:sp macro="" textlink="">
          <xdr:nvSpPr>
            <xdr:cNvPr id="0" name=""/>
            <xdr:cNvSpPr>
              <a:spLocks noTextEdit="1"/>
            </xdr:cNvSpPr>
          </xdr:nvSpPr>
          <xdr:spPr>
            <a:xfrm>
              <a:off x="13189324" y="918885"/>
              <a:ext cx="1871383" cy="242046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0</xdr:colOff>
      <xdr:row>2</xdr:row>
      <xdr:rowOff>134470</xdr:rowOff>
    </xdr:from>
    <xdr:to>
      <xdr:col>4</xdr:col>
      <xdr:colOff>33617</xdr:colOff>
      <xdr:row>29</xdr:row>
      <xdr:rowOff>134470</xdr:rowOff>
    </xdr:to>
    <xdr:sp macro="" textlink="">
      <xdr:nvSpPr>
        <xdr:cNvPr id="69" name="Rectangle: Rounded Corners 68">
          <a:extLst>
            <a:ext uri="{FF2B5EF4-FFF2-40B4-BE49-F238E27FC236}">
              <a16:creationId xmlns:a16="http://schemas.microsoft.com/office/drawing/2014/main" id="{DDE83100-4E9E-7C48-D2D1-6C02F7DF0E1C}"/>
            </a:ext>
          </a:extLst>
        </xdr:cNvPr>
        <xdr:cNvSpPr/>
      </xdr:nvSpPr>
      <xdr:spPr>
        <a:xfrm>
          <a:off x="0" y="918882"/>
          <a:ext cx="3731558" cy="5513294"/>
        </a:xfrm>
        <a:prstGeom prst="roundRect">
          <a:avLst/>
        </a:prstGeom>
        <a:solidFill>
          <a:srgbClr val="DFF1D3">
            <a:alpha val="5098"/>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392206</xdr:colOff>
      <xdr:row>4</xdr:row>
      <xdr:rowOff>156882</xdr:rowOff>
    </xdr:from>
    <xdr:to>
      <xdr:col>9</xdr:col>
      <xdr:colOff>235323</xdr:colOff>
      <xdr:row>10</xdr:row>
      <xdr:rowOff>11206</xdr:rowOff>
    </xdr:to>
    <xdr:sp macro="" textlink="">
      <xdr:nvSpPr>
        <xdr:cNvPr id="70" name="Rectangle: Rounded Corners 69">
          <a:extLst>
            <a:ext uri="{FF2B5EF4-FFF2-40B4-BE49-F238E27FC236}">
              <a16:creationId xmlns:a16="http://schemas.microsoft.com/office/drawing/2014/main" id="{6B97415A-9127-D96C-7004-02CB3FEC3EFB}"/>
            </a:ext>
          </a:extLst>
        </xdr:cNvPr>
        <xdr:cNvSpPr/>
      </xdr:nvSpPr>
      <xdr:spPr>
        <a:xfrm>
          <a:off x="5300382" y="1423147"/>
          <a:ext cx="1826559" cy="122144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12</xdr:col>
      <xdr:colOff>336177</xdr:colOff>
      <xdr:row>17</xdr:row>
      <xdr:rowOff>112060</xdr:rowOff>
    </xdr:from>
    <xdr:to>
      <xdr:col>15</xdr:col>
      <xdr:colOff>582706</xdr:colOff>
      <xdr:row>19</xdr:row>
      <xdr:rowOff>22412</xdr:rowOff>
    </xdr:to>
    <xdr:sp macro="" textlink="">
      <xdr:nvSpPr>
        <xdr:cNvPr id="72" name="TextBox 71">
          <a:extLst>
            <a:ext uri="{FF2B5EF4-FFF2-40B4-BE49-F238E27FC236}">
              <a16:creationId xmlns:a16="http://schemas.microsoft.com/office/drawing/2014/main" id="{C6A8A70F-3332-AAF5-2FE8-E5AF56E5D3A5}"/>
            </a:ext>
          </a:extLst>
        </xdr:cNvPr>
        <xdr:cNvSpPr txBox="1"/>
      </xdr:nvSpPr>
      <xdr:spPr>
        <a:xfrm>
          <a:off x="9648265" y="4123766"/>
          <a:ext cx="2061882" cy="291352"/>
        </a:xfrm>
        <a:prstGeom prst="rect">
          <a:avLst/>
        </a:prstGeom>
        <a:solidFill>
          <a:srgbClr val="E2DFC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400" b="1"/>
            <a:t>RECOMMENDATIONS</a:t>
          </a:r>
        </a:p>
      </xdr:txBody>
    </xdr:sp>
    <xdr:clientData/>
  </xdr:twoCellAnchor>
  <xdr:twoCellAnchor>
    <xdr:from>
      <xdr:col>12</xdr:col>
      <xdr:colOff>100852</xdr:colOff>
      <xdr:row>17</xdr:row>
      <xdr:rowOff>33617</xdr:rowOff>
    </xdr:from>
    <xdr:to>
      <xdr:col>16</xdr:col>
      <xdr:colOff>392205</xdr:colOff>
      <xdr:row>26</xdr:row>
      <xdr:rowOff>134471</xdr:rowOff>
    </xdr:to>
    <xdr:sp macro="" textlink="">
      <xdr:nvSpPr>
        <xdr:cNvPr id="73" name="Rectangle: Rounded Corners 72">
          <a:extLst>
            <a:ext uri="{FF2B5EF4-FFF2-40B4-BE49-F238E27FC236}">
              <a16:creationId xmlns:a16="http://schemas.microsoft.com/office/drawing/2014/main" id="{C53811F7-587E-5A59-94CE-3E1314B07C8D}"/>
            </a:ext>
          </a:extLst>
        </xdr:cNvPr>
        <xdr:cNvSpPr/>
      </xdr:nvSpPr>
      <xdr:spPr>
        <a:xfrm>
          <a:off x="9760323" y="4045323"/>
          <a:ext cx="3866029" cy="1815354"/>
        </a:xfrm>
        <a:prstGeom prst="roundRect">
          <a:avLst/>
        </a:prstGeom>
        <a:solidFill>
          <a:srgbClr val="DFF1D3">
            <a:alpha val="5098"/>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728382</xdr:colOff>
      <xdr:row>5</xdr:row>
      <xdr:rowOff>22412</xdr:rowOff>
    </xdr:from>
    <xdr:to>
      <xdr:col>9</xdr:col>
      <xdr:colOff>224117</xdr:colOff>
      <xdr:row>10</xdr:row>
      <xdr:rowOff>78442</xdr:rowOff>
    </xdr:to>
    <xdr:sp macro="" textlink="">
      <xdr:nvSpPr>
        <xdr:cNvPr id="74" name="Rectangle: Rounded Corners 73">
          <a:extLst>
            <a:ext uri="{FF2B5EF4-FFF2-40B4-BE49-F238E27FC236}">
              <a16:creationId xmlns:a16="http://schemas.microsoft.com/office/drawing/2014/main" id="{3346EEFD-A5F7-2C52-0248-179BD566FC9D}"/>
            </a:ext>
          </a:extLst>
        </xdr:cNvPr>
        <xdr:cNvSpPr/>
      </xdr:nvSpPr>
      <xdr:spPr>
        <a:xfrm>
          <a:off x="6241676" y="1479177"/>
          <a:ext cx="1826559" cy="1232647"/>
        </a:xfrm>
        <a:prstGeom prst="roundRect">
          <a:avLst/>
        </a:prstGeom>
        <a:solidFill>
          <a:srgbClr val="DFF1D3">
            <a:alpha val="5098"/>
          </a:srgbClr>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56030</xdr:colOff>
      <xdr:row>2</xdr:row>
      <xdr:rowOff>11206</xdr:rowOff>
    </xdr:from>
    <xdr:to>
      <xdr:col>24</xdr:col>
      <xdr:colOff>390105</xdr:colOff>
      <xdr:row>2</xdr:row>
      <xdr:rowOff>22412</xdr:rowOff>
    </xdr:to>
    <xdr:cxnSp macro="">
      <xdr:nvCxnSpPr>
        <xdr:cNvPr id="2" name="Straight Connector 1">
          <a:extLst>
            <a:ext uri="{FF2B5EF4-FFF2-40B4-BE49-F238E27FC236}">
              <a16:creationId xmlns:a16="http://schemas.microsoft.com/office/drawing/2014/main" id="{0BA1C7DF-90C5-4F5D-B54D-82BA1C6DD3CD}"/>
            </a:ext>
          </a:extLst>
        </xdr:cNvPr>
        <xdr:cNvCxnSpPr/>
      </xdr:nvCxnSpPr>
      <xdr:spPr>
        <a:xfrm>
          <a:off x="56030" y="801781"/>
          <a:ext cx="19660300" cy="11206"/>
        </a:xfrm>
        <a:prstGeom prst="line">
          <a:avLst/>
        </a:prstGeom>
        <a:effectLst>
          <a:outerShdw blurRad="50800" dist="38100" dir="5400000" algn="t" rotWithShape="0">
            <a:prstClr val="black">
              <a:alpha val="40000"/>
            </a:prstClr>
          </a:outerShdw>
        </a:effectLst>
      </xdr:spPr>
      <xdr:style>
        <a:lnRef idx="3">
          <a:schemeClr val="accent3"/>
        </a:lnRef>
        <a:fillRef idx="0">
          <a:schemeClr val="accent3"/>
        </a:fillRef>
        <a:effectRef idx="2">
          <a:schemeClr val="accent3"/>
        </a:effectRef>
        <a:fontRef idx="minor">
          <a:schemeClr val="tx1"/>
        </a:fontRef>
      </xdr:style>
    </xdr:cxnSp>
    <xdr:clientData/>
  </xdr:twoCellAnchor>
  <xdr:twoCellAnchor>
    <xdr:from>
      <xdr:col>2</xdr:col>
      <xdr:colOff>407023</xdr:colOff>
      <xdr:row>9</xdr:row>
      <xdr:rowOff>34178</xdr:rowOff>
    </xdr:from>
    <xdr:to>
      <xdr:col>2</xdr:col>
      <xdr:colOff>779244</xdr:colOff>
      <xdr:row>11</xdr:row>
      <xdr:rowOff>38100</xdr:rowOff>
    </xdr:to>
    <xdr:sp macro="" textlink="space">
      <xdr:nvSpPr>
        <xdr:cNvPr id="3" name="TextBox 2">
          <a:extLst>
            <a:ext uri="{FF2B5EF4-FFF2-40B4-BE49-F238E27FC236}">
              <a16:creationId xmlns:a16="http://schemas.microsoft.com/office/drawing/2014/main" id="{3CD627BB-364F-4821-BDFC-862383275D29}"/>
            </a:ext>
          </a:extLst>
        </xdr:cNvPr>
        <xdr:cNvSpPr txBox="1"/>
      </xdr:nvSpPr>
      <xdr:spPr>
        <a:xfrm>
          <a:off x="1626223" y="2301128"/>
          <a:ext cx="372221" cy="3944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1B3599-283E-434A-8CD3-D48AFE3580AF}" type="TxLink">
            <a:rPr lang="en-US" sz="2400" b="1" i="0" u="none" strike="noStrike">
              <a:solidFill>
                <a:srgbClr val="000000"/>
              </a:solidFill>
              <a:latin typeface="Calibri"/>
              <a:cs typeface="Calibri"/>
            </a:rPr>
            <a:pPr/>
            <a:t>2</a:t>
          </a:fld>
          <a:endParaRPr lang="en-ZA" sz="2400" b="1"/>
        </a:p>
      </xdr:txBody>
    </xdr:sp>
    <xdr:clientData/>
  </xdr:twoCellAnchor>
  <xdr:twoCellAnchor>
    <xdr:from>
      <xdr:col>1</xdr:col>
      <xdr:colOff>403786</xdr:colOff>
      <xdr:row>11</xdr:row>
      <xdr:rowOff>79188</xdr:rowOff>
    </xdr:from>
    <xdr:to>
      <xdr:col>2</xdr:col>
      <xdr:colOff>1316986</xdr:colOff>
      <xdr:row>12</xdr:row>
      <xdr:rowOff>151488</xdr:rowOff>
    </xdr:to>
    <xdr:sp macro="" textlink="">
      <xdr:nvSpPr>
        <xdr:cNvPr id="4" name="TextBox 3">
          <a:extLst>
            <a:ext uri="{FF2B5EF4-FFF2-40B4-BE49-F238E27FC236}">
              <a16:creationId xmlns:a16="http://schemas.microsoft.com/office/drawing/2014/main" id="{14D83678-A171-4791-9087-9572EB412E77}"/>
            </a:ext>
          </a:extLst>
        </xdr:cNvPr>
        <xdr:cNvSpPr txBox="1"/>
      </xdr:nvSpPr>
      <xdr:spPr>
        <a:xfrm>
          <a:off x="1013386" y="2736663"/>
          <a:ext cx="1522800" cy="262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600"/>
            <a:t>Skills</a:t>
          </a:r>
          <a:r>
            <a:rPr lang="en-ZA" sz="1600" baseline="0"/>
            <a:t> Covered</a:t>
          </a:r>
          <a:endParaRPr lang="en-ZA" sz="1600"/>
        </a:p>
        <a:p>
          <a:pPr algn="ctr"/>
          <a:endParaRPr lang="en-ZA" sz="1100"/>
        </a:p>
      </xdr:txBody>
    </xdr:sp>
    <xdr:clientData/>
  </xdr:twoCellAnchor>
  <xdr:twoCellAnchor>
    <xdr:from>
      <xdr:col>2</xdr:col>
      <xdr:colOff>333469</xdr:colOff>
      <xdr:row>12</xdr:row>
      <xdr:rowOff>191267</xdr:rowOff>
    </xdr:from>
    <xdr:to>
      <xdr:col>2</xdr:col>
      <xdr:colOff>819469</xdr:colOff>
      <xdr:row>14</xdr:row>
      <xdr:rowOff>180242</xdr:rowOff>
    </xdr:to>
    <xdr:sp macro="" textlink="skills_covered">
      <xdr:nvSpPr>
        <xdr:cNvPr id="5" name="TextBox 4">
          <a:extLst>
            <a:ext uri="{FF2B5EF4-FFF2-40B4-BE49-F238E27FC236}">
              <a16:creationId xmlns:a16="http://schemas.microsoft.com/office/drawing/2014/main" id="{9B4D936F-117F-4AD5-B7F6-764E7ECAACEC}"/>
            </a:ext>
          </a:extLst>
        </xdr:cNvPr>
        <xdr:cNvSpPr txBox="1"/>
      </xdr:nvSpPr>
      <xdr:spPr>
        <a:xfrm>
          <a:off x="1552669" y="3039242"/>
          <a:ext cx="486000" cy="417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FBB3238-785D-4201-8689-B7F8069B85AD}" type="TxLink">
            <a:rPr lang="en-US" sz="2400" b="1" i="0" u="none" strike="noStrike">
              <a:solidFill>
                <a:srgbClr val="000000"/>
              </a:solidFill>
              <a:latin typeface="Calibri"/>
              <a:cs typeface="Calibri"/>
            </a:rPr>
            <a:pPr algn="ctr"/>
            <a:t>8</a:t>
          </a:fld>
          <a:endParaRPr lang="en-ZA" sz="2400" b="1"/>
        </a:p>
      </xdr:txBody>
    </xdr:sp>
    <xdr:clientData/>
  </xdr:twoCellAnchor>
  <xdr:twoCellAnchor>
    <xdr:from>
      <xdr:col>2</xdr:col>
      <xdr:colOff>209990</xdr:colOff>
      <xdr:row>16</xdr:row>
      <xdr:rowOff>179982</xdr:rowOff>
    </xdr:from>
    <xdr:to>
      <xdr:col>2</xdr:col>
      <xdr:colOff>856565</xdr:colOff>
      <xdr:row>19</xdr:row>
      <xdr:rowOff>127498</xdr:rowOff>
    </xdr:to>
    <xdr:sp macro="" textlink="avg_skill_count">
      <xdr:nvSpPr>
        <xdr:cNvPr id="6" name="TextBox 5">
          <a:extLst>
            <a:ext uri="{FF2B5EF4-FFF2-40B4-BE49-F238E27FC236}">
              <a16:creationId xmlns:a16="http://schemas.microsoft.com/office/drawing/2014/main" id="{5AAFA01A-AA3D-4887-B456-70382A601CCA}"/>
            </a:ext>
          </a:extLst>
        </xdr:cNvPr>
        <xdr:cNvSpPr txBox="1"/>
      </xdr:nvSpPr>
      <xdr:spPr>
        <a:xfrm>
          <a:off x="1429190" y="3837582"/>
          <a:ext cx="646575" cy="5190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915E07F-4A97-42C7-B176-19549CEC5D85}" type="TxLink">
            <a:rPr lang="en-US" sz="2400" b="1" i="0" u="none" strike="noStrike">
              <a:solidFill>
                <a:srgbClr val="000000"/>
              </a:solidFill>
              <a:latin typeface="Calibri"/>
              <a:cs typeface="Calibri"/>
            </a:rPr>
            <a:pPr algn="ctr"/>
            <a:t>3.7</a:t>
          </a:fld>
          <a:endParaRPr lang="en-ZA" sz="2400" b="1"/>
        </a:p>
      </xdr:txBody>
    </xdr:sp>
    <xdr:clientData/>
  </xdr:twoCellAnchor>
  <xdr:twoCellAnchor>
    <xdr:from>
      <xdr:col>1</xdr:col>
      <xdr:colOff>90856</xdr:colOff>
      <xdr:row>15</xdr:row>
      <xdr:rowOff>80884</xdr:rowOff>
    </xdr:from>
    <xdr:to>
      <xdr:col>2</xdr:col>
      <xdr:colOff>1800225</xdr:colOff>
      <xdr:row>17</xdr:row>
      <xdr:rowOff>10309</xdr:rowOff>
    </xdr:to>
    <xdr:sp macro="" textlink="">
      <xdr:nvSpPr>
        <xdr:cNvPr id="7" name="TextBox 6">
          <a:extLst>
            <a:ext uri="{FF2B5EF4-FFF2-40B4-BE49-F238E27FC236}">
              <a16:creationId xmlns:a16="http://schemas.microsoft.com/office/drawing/2014/main" id="{557029A1-9BEC-4FD7-9778-61F025FA056B}"/>
            </a:ext>
          </a:extLst>
        </xdr:cNvPr>
        <xdr:cNvSpPr txBox="1"/>
      </xdr:nvSpPr>
      <xdr:spPr>
        <a:xfrm>
          <a:off x="700456" y="3547984"/>
          <a:ext cx="2318969" cy="310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600" baseline="0"/>
            <a:t>Average Skill per Person</a:t>
          </a:r>
        </a:p>
        <a:p>
          <a:pPr algn="ctr"/>
          <a:endParaRPr lang="en-ZA" sz="1600" baseline="0"/>
        </a:p>
        <a:p>
          <a:pPr algn="ctr"/>
          <a:endParaRPr lang="en-ZA" sz="1600"/>
        </a:p>
        <a:p>
          <a:pPr algn="ctr"/>
          <a:endParaRPr lang="en-ZA" sz="1100"/>
        </a:p>
      </xdr:txBody>
    </xdr:sp>
    <xdr:clientData/>
  </xdr:twoCellAnchor>
  <xdr:twoCellAnchor>
    <xdr:from>
      <xdr:col>1</xdr:col>
      <xdr:colOff>19050</xdr:colOff>
      <xdr:row>21</xdr:row>
      <xdr:rowOff>133350</xdr:rowOff>
    </xdr:from>
    <xdr:to>
      <xdr:col>2</xdr:col>
      <xdr:colOff>1476375</xdr:colOff>
      <xdr:row>25</xdr:row>
      <xdr:rowOff>85725</xdr:rowOff>
    </xdr:to>
    <xdr:sp macro="" textlink="avg_skills">
      <xdr:nvSpPr>
        <xdr:cNvPr id="8" name="TextBox 7">
          <a:extLst>
            <a:ext uri="{FF2B5EF4-FFF2-40B4-BE49-F238E27FC236}">
              <a16:creationId xmlns:a16="http://schemas.microsoft.com/office/drawing/2014/main" id="{9901B7EC-20C3-49E4-AD21-F93A5E92D9BF}"/>
            </a:ext>
          </a:extLst>
        </xdr:cNvPr>
        <xdr:cNvSpPr txBox="1"/>
      </xdr:nvSpPr>
      <xdr:spPr>
        <a:xfrm>
          <a:off x="628650" y="4743450"/>
          <a:ext cx="2066925"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3DC7F0-F93B-4214-AA4B-AE441537B0A4}" type="TxLink">
            <a:rPr lang="en-US" sz="2000" b="1" i="0" u="none" strike="noStrike">
              <a:solidFill>
                <a:srgbClr val="000000"/>
              </a:solidFill>
              <a:latin typeface="Calibri"/>
              <a:cs typeface="Calibri"/>
            </a:rPr>
            <a:pPr algn="ctr"/>
            <a:t>Spreadsheets &amp; Presentation</a:t>
          </a:fld>
          <a:endParaRPr lang="en-ZA" sz="2000" b="1"/>
        </a:p>
      </xdr:txBody>
    </xdr:sp>
    <xdr:clientData/>
  </xdr:twoCellAnchor>
  <xdr:twoCellAnchor>
    <xdr:from>
      <xdr:col>1</xdr:col>
      <xdr:colOff>332596</xdr:colOff>
      <xdr:row>19</xdr:row>
      <xdr:rowOff>175108</xdr:rowOff>
    </xdr:from>
    <xdr:to>
      <xdr:col>2</xdr:col>
      <xdr:colOff>1252395</xdr:colOff>
      <xdr:row>21</xdr:row>
      <xdr:rowOff>122985</xdr:rowOff>
    </xdr:to>
    <xdr:sp macro="" textlink="">
      <xdr:nvSpPr>
        <xdr:cNvPr id="9" name="TextBox 8">
          <a:extLst>
            <a:ext uri="{FF2B5EF4-FFF2-40B4-BE49-F238E27FC236}">
              <a16:creationId xmlns:a16="http://schemas.microsoft.com/office/drawing/2014/main" id="{C01DBC6B-A99A-48A2-B4D5-7AF44790240A}"/>
            </a:ext>
          </a:extLst>
        </xdr:cNvPr>
        <xdr:cNvSpPr txBox="1"/>
      </xdr:nvSpPr>
      <xdr:spPr>
        <a:xfrm>
          <a:off x="942196" y="4404208"/>
          <a:ext cx="1529399" cy="3288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600"/>
            <a:t>Top Skills</a:t>
          </a:r>
        </a:p>
      </xdr:txBody>
    </xdr:sp>
    <xdr:clientData/>
  </xdr:twoCellAnchor>
  <xdr:twoCellAnchor>
    <xdr:from>
      <xdr:col>3</xdr:col>
      <xdr:colOff>228601</xdr:colOff>
      <xdr:row>10</xdr:row>
      <xdr:rowOff>66675</xdr:rowOff>
    </xdr:from>
    <xdr:to>
      <xdr:col>10</xdr:col>
      <xdr:colOff>152400</xdr:colOff>
      <xdr:row>25</xdr:row>
      <xdr:rowOff>114300</xdr:rowOff>
    </xdr:to>
    <xdr:graphicFrame macro="">
      <xdr:nvGraphicFramePr>
        <xdr:cNvPr id="10" name="Chart 9">
          <a:extLst>
            <a:ext uri="{FF2B5EF4-FFF2-40B4-BE49-F238E27FC236}">
              <a16:creationId xmlns:a16="http://schemas.microsoft.com/office/drawing/2014/main" id="{52C36B50-AB29-4DE1-83A9-9D1A8172C406}"/>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456624</xdr:colOff>
      <xdr:row>3</xdr:row>
      <xdr:rowOff>9525</xdr:rowOff>
    </xdr:from>
    <xdr:to>
      <xdr:col>14</xdr:col>
      <xdr:colOff>485775</xdr:colOff>
      <xdr:row>13</xdr:row>
      <xdr:rowOff>171559</xdr:rowOff>
    </xdr:to>
    <xdr:graphicFrame macro="">
      <xdr:nvGraphicFramePr>
        <xdr:cNvPr id="11" name="Chart 10">
          <a:extLst>
            <a:ext uri="{FF2B5EF4-FFF2-40B4-BE49-F238E27FC236}">
              <a16:creationId xmlns:a16="http://schemas.microsoft.com/office/drawing/2014/main" id="{9A284718-7524-4182-A382-D10B5D98A564}"/>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282375</xdr:colOff>
      <xdr:row>7</xdr:row>
      <xdr:rowOff>140138</xdr:rowOff>
    </xdr:from>
    <xdr:to>
      <xdr:col>1</xdr:col>
      <xdr:colOff>176775</xdr:colOff>
      <xdr:row>10</xdr:row>
      <xdr:rowOff>5255</xdr:rowOff>
    </xdr:to>
    <xdr:grpSp>
      <xdr:nvGrpSpPr>
        <xdr:cNvPr id="12" name="Group 11">
          <a:extLst>
            <a:ext uri="{FF2B5EF4-FFF2-40B4-BE49-F238E27FC236}">
              <a16:creationId xmlns:a16="http://schemas.microsoft.com/office/drawing/2014/main" id="{F7D4AA19-27BA-4261-8A28-1166964A61BC}"/>
            </a:ext>
          </a:extLst>
        </xdr:cNvPr>
        <xdr:cNvGrpSpPr>
          <a:grpSpLocks noChangeAspect="1"/>
        </xdr:cNvGrpSpPr>
      </xdr:nvGrpSpPr>
      <xdr:grpSpPr>
        <a:xfrm>
          <a:off x="282375" y="2007038"/>
          <a:ext cx="504000" cy="465192"/>
          <a:chOff x="181828" y="2415420"/>
          <a:chExt cx="517525" cy="478366"/>
        </a:xfrm>
      </xdr:grpSpPr>
      <xdr:sp macro="" textlink="">
        <xdr:nvSpPr>
          <xdr:cNvPr id="13" name="Oval 12">
            <a:extLst>
              <a:ext uri="{FF2B5EF4-FFF2-40B4-BE49-F238E27FC236}">
                <a16:creationId xmlns:a16="http://schemas.microsoft.com/office/drawing/2014/main" id="{0E87FEAD-6CC9-6C4A-C2E3-02196637A061}"/>
              </a:ext>
            </a:extLst>
          </xdr:cNvPr>
          <xdr:cNvSpPr/>
        </xdr:nvSpPr>
        <xdr:spPr>
          <a:xfrm>
            <a:off x="181828" y="2415420"/>
            <a:ext cx="517525" cy="478366"/>
          </a:xfrm>
          <a:prstGeom prst="ellipse">
            <a:avLst/>
          </a:prstGeo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pic>
        <xdr:nvPicPr>
          <xdr:cNvPr id="14" name="Graphic 13" descr="Follow with solid fill">
            <a:extLst>
              <a:ext uri="{FF2B5EF4-FFF2-40B4-BE49-F238E27FC236}">
                <a16:creationId xmlns:a16="http://schemas.microsoft.com/office/drawing/2014/main" id="{17F95FBC-19AD-4D9D-9065-82E033626AF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4068" y="2491417"/>
            <a:ext cx="292101" cy="296335"/>
          </a:xfrm>
          <a:prstGeom prst="rect">
            <a:avLst/>
          </a:prstGeom>
          <a:effectLst>
            <a:outerShdw blurRad="50800" dist="38100" dir="5400000" algn="t" rotWithShape="0">
              <a:prstClr val="black">
                <a:alpha val="40000"/>
              </a:prstClr>
            </a:outerShdw>
          </a:effectLst>
        </xdr:spPr>
      </xdr:pic>
    </xdr:grpSp>
    <xdr:clientData/>
  </xdr:twoCellAnchor>
  <xdr:twoCellAnchor>
    <xdr:from>
      <xdr:col>0</xdr:col>
      <xdr:colOff>282375</xdr:colOff>
      <xdr:row>11</xdr:row>
      <xdr:rowOff>0</xdr:rowOff>
    </xdr:from>
    <xdr:to>
      <xdr:col>1</xdr:col>
      <xdr:colOff>176775</xdr:colOff>
      <xdr:row>13</xdr:row>
      <xdr:rowOff>75375</xdr:rowOff>
    </xdr:to>
    <xdr:grpSp>
      <xdr:nvGrpSpPr>
        <xdr:cNvPr id="15" name="Group 14">
          <a:extLst>
            <a:ext uri="{FF2B5EF4-FFF2-40B4-BE49-F238E27FC236}">
              <a16:creationId xmlns:a16="http://schemas.microsoft.com/office/drawing/2014/main" id="{86BCFCE7-54A2-4B12-9AF2-590FEFFB571C}"/>
            </a:ext>
          </a:extLst>
        </xdr:cNvPr>
        <xdr:cNvGrpSpPr>
          <a:grpSpLocks noChangeAspect="1"/>
        </xdr:cNvGrpSpPr>
      </xdr:nvGrpSpPr>
      <xdr:grpSpPr>
        <a:xfrm>
          <a:off x="282375" y="2657475"/>
          <a:ext cx="504000" cy="504000"/>
          <a:chOff x="357247" y="3474150"/>
          <a:chExt cx="517525" cy="478366"/>
        </a:xfrm>
      </xdr:grpSpPr>
      <xdr:sp macro="" textlink="">
        <xdr:nvSpPr>
          <xdr:cNvPr id="16" name="Oval 15">
            <a:extLst>
              <a:ext uri="{FF2B5EF4-FFF2-40B4-BE49-F238E27FC236}">
                <a16:creationId xmlns:a16="http://schemas.microsoft.com/office/drawing/2014/main" id="{386D00CA-F900-CCC2-C068-86AF7EC4AAAF}"/>
              </a:ext>
            </a:extLst>
          </xdr:cNvPr>
          <xdr:cNvSpPr/>
        </xdr:nvSpPr>
        <xdr:spPr>
          <a:xfrm>
            <a:off x="357247" y="3474150"/>
            <a:ext cx="517525" cy="478366"/>
          </a:xfrm>
          <a:prstGeom prst="ellipse">
            <a:avLst/>
          </a:prstGeo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pic>
        <xdr:nvPicPr>
          <xdr:cNvPr id="17" name="Graphic 16" descr="Single gear with solid fill">
            <a:extLst>
              <a:ext uri="{FF2B5EF4-FFF2-40B4-BE49-F238E27FC236}">
                <a16:creationId xmlns:a16="http://schemas.microsoft.com/office/drawing/2014/main" id="{C3AB727B-BEB2-2020-D914-F6047675EBF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33448" y="3530601"/>
            <a:ext cx="391583" cy="395816"/>
          </a:xfrm>
          <a:prstGeom prst="rect">
            <a:avLst/>
          </a:prstGeom>
          <a:effectLst>
            <a:outerShdw blurRad="63500" sx="102000" sy="102000" algn="ctr" rotWithShape="0">
              <a:prstClr val="black">
                <a:alpha val="40000"/>
              </a:prstClr>
            </a:outerShdw>
          </a:effectLst>
        </xdr:spPr>
      </xdr:pic>
    </xdr:grpSp>
    <xdr:clientData/>
  </xdr:twoCellAnchor>
  <xdr:twoCellAnchor>
    <xdr:from>
      <xdr:col>0</xdr:col>
      <xdr:colOff>282375</xdr:colOff>
      <xdr:row>14</xdr:row>
      <xdr:rowOff>139500</xdr:rowOff>
    </xdr:from>
    <xdr:to>
      <xdr:col>1</xdr:col>
      <xdr:colOff>176775</xdr:colOff>
      <xdr:row>17</xdr:row>
      <xdr:rowOff>72000</xdr:rowOff>
    </xdr:to>
    <xdr:grpSp>
      <xdr:nvGrpSpPr>
        <xdr:cNvPr id="21" name="Group 20">
          <a:extLst>
            <a:ext uri="{FF2B5EF4-FFF2-40B4-BE49-F238E27FC236}">
              <a16:creationId xmlns:a16="http://schemas.microsoft.com/office/drawing/2014/main" id="{C7965B75-FFC4-43B4-B1C9-AC12F137D469}"/>
            </a:ext>
          </a:extLst>
        </xdr:cNvPr>
        <xdr:cNvGrpSpPr>
          <a:grpSpLocks noChangeAspect="1"/>
        </xdr:cNvGrpSpPr>
      </xdr:nvGrpSpPr>
      <xdr:grpSpPr>
        <a:xfrm>
          <a:off x="282375" y="3416100"/>
          <a:ext cx="504000" cy="504000"/>
          <a:chOff x="370417" y="4551892"/>
          <a:chExt cx="517525" cy="621241"/>
        </a:xfrm>
      </xdr:grpSpPr>
      <xdr:sp macro="" textlink="">
        <xdr:nvSpPr>
          <xdr:cNvPr id="22" name="Oval 21">
            <a:extLst>
              <a:ext uri="{FF2B5EF4-FFF2-40B4-BE49-F238E27FC236}">
                <a16:creationId xmlns:a16="http://schemas.microsoft.com/office/drawing/2014/main" id="{62691F9B-DB1E-B816-C4D0-AFFF7DB422A8}"/>
              </a:ext>
            </a:extLst>
          </xdr:cNvPr>
          <xdr:cNvSpPr/>
        </xdr:nvSpPr>
        <xdr:spPr>
          <a:xfrm>
            <a:off x="370417" y="4551892"/>
            <a:ext cx="517525" cy="621241"/>
          </a:xfrm>
          <a:prstGeom prst="ellipse">
            <a:avLst/>
          </a:prstGeo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pic>
        <xdr:nvPicPr>
          <xdr:cNvPr id="23" name="Graphic 22" descr="Head with gears with solid fill">
            <a:extLst>
              <a:ext uri="{FF2B5EF4-FFF2-40B4-BE49-F238E27FC236}">
                <a16:creationId xmlns:a16="http://schemas.microsoft.com/office/drawing/2014/main" id="{D25A625D-6194-CCFD-BF92-C40F670B73C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65667" y="4694767"/>
            <a:ext cx="345017" cy="343959"/>
          </a:xfrm>
          <a:prstGeom prst="rect">
            <a:avLst/>
          </a:prstGeom>
          <a:effectLst>
            <a:outerShdw blurRad="63500" sx="102000" sy="102000" algn="ctr" rotWithShape="0">
              <a:prstClr val="black">
                <a:alpha val="40000"/>
              </a:prstClr>
            </a:outerShdw>
          </a:effectLst>
        </xdr:spPr>
      </xdr:pic>
    </xdr:grpSp>
    <xdr:clientData/>
  </xdr:twoCellAnchor>
  <xdr:twoCellAnchor>
    <xdr:from>
      <xdr:col>0</xdr:col>
      <xdr:colOff>282375</xdr:colOff>
      <xdr:row>19</xdr:row>
      <xdr:rowOff>51734</xdr:rowOff>
    </xdr:from>
    <xdr:to>
      <xdr:col>1</xdr:col>
      <xdr:colOff>176775</xdr:colOff>
      <xdr:row>21</xdr:row>
      <xdr:rowOff>174734</xdr:rowOff>
    </xdr:to>
    <xdr:grpSp>
      <xdr:nvGrpSpPr>
        <xdr:cNvPr id="18" name="Group 17">
          <a:extLst>
            <a:ext uri="{FF2B5EF4-FFF2-40B4-BE49-F238E27FC236}">
              <a16:creationId xmlns:a16="http://schemas.microsoft.com/office/drawing/2014/main" id="{089058D7-17CC-4F6F-99FD-C390DFA92D87}"/>
            </a:ext>
          </a:extLst>
        </xdr:cNvPr>
        <xdr:cNvGrpSpPr>
          <a:grpSpLocks noChangeAspect="1"/>
        </xdr:cNvGrpSpPr>
      </xdr:nvGrpSpPr>
      <xdr:grpSpPr>
        <a:xfrm>
          <a:off x="282375" y="4280834"/>
          <a:ext cx="504000" cy="504000"/>
          <a:chOff x="372533" y="5702300"/>
          <a:chExt cx="517525" cy="478366"/>
        </a:xfrm>
      </xdr:grpSpPr>
      <xdr:sp macro="" textlink="">
        <xdr:nvSpPr>
          <xdr:cNvPr id="19" name="Oval 18">
            <a:extLst>
              <a:ext uri="{FF2B5EF4-FFF2-40B4-BE49-F238E27FC236}">
                <a16:creationId xmlns:a16="http://schemas.microsoft.com/office/drawing/2014/main" id="{6B6EB5AD-C3B0-0645-FA30-73B5235C3A78}"/>
              </a:ext>
            </a:extLst>
          </xdr:cNvPr>
          <xdr:cNvSpPr/>
        </xdr:nvSpPr>
        <xdr:spPr>
          <a:xfrm>
            <a:off x="372533" y="5702300"/>
            <a:ext cx="517525" cy="478366"/>
          </a:xfrm>
          <a:prstGeom prst="ellipse">
            <a:avLst/>
          </a:prstGeo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pic>
        <xdr:nvPicPr>
          <xdr:cNvPr id="20" name="Graphic 19" descr="Star with solid fill">
            <a:extLst>
              <a:ext uri="{FF2B5EF4-FFF2-40B4-BE49-F238E27FC236}">
                <a16:creationId xmlns:a16="http://schemas.microsoft.com/office/drawing/2014/main" id="{26D6FCE4-5ECE-3AB7-172F-1C9F4EB5278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65667" y="5784850"/>
            <a:ext cx="355599" cy="359833"/>
          </a:xfrm>
          <a:prstGeom prst="rect">
            <a:avLst/>
          </a:prstGeom>
          <a:effectLst>
            <a:outerShdw blurRad="63500" sx="102000" sy="102000" algn="ctr" rotWithShape="0">
              <a:prstClr val="black">
                <a:alpha val="40000"/>
              </a:prstClr>
            </a:outerShdw>
          </a:effectLst>
        </xdr:spPr>
      </xdr:pic>
    </xdr:grpSp>
    <xdr:clientData/>
  </xdr:twoCellAnchor>
  <xdr:twoCellAnchor editAs="absolute">
    <xdr:from>
      <xdr:col>4</xdr:col>
      <xdr:colOff>152402</xdr:colOff>
      <xdr:row>2</xdr:row>
      <xdr:rowOff>114394</xdr:rowOff>
    </xdr:from>
    <xdr:to>
      <xdr:col>8</xdr:col>
      <xdr:colOff>1106402</xdr:colOff>
      <xdr:row>4</xdr:row>
      <xdr:rowOff>57151</xdr:rowOff>
    </xdr:to>
    <mc:AlternateContent xmlns:mc="http://schemas.openxmlformats.org/markup-compatibility/2006" xmlns:a14="http://schemas.microsoft.com/office/drawing/2010/main">
      <mc:Choice Requires="a14">
        <xdr:graphicFrame macro="">
          <xdr:nvGraphicFramePr>
            <xdr:cNvPr id="25" name="Team 2">
              <a:extLst>
                <a:ext uri="{FF2B5EF4-FFF2-40B4-BE49-F238E27FC236}">
                  <a16:creationId xmlns:a16="http://schemas.microsoft.com/office/drawing/2014/main" id="{920BE04B-8803-453A-ABF2-DC19557966DD}"/>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Team 2"/>
            </a:graphicData>
          </a:graphic>
        </xdr:graphicFrame>
      </mc:Choice>
      <mc:Fallback xmlns="">
        <xdr:sp macro="" textlink="">
          <xdr:nvSpPr>
            <xdr:cNvPr id="0" name=""/>
            <xdr:cNvSpPr>
              <a:spLocks noTextEdit="1"/>
            </xdr:cNvSpPr>
          </xdr:nvSpPr>
          <xdr:spPr>
            <a:xfrm>
              <a:off x="3867152" y="904969"/>
              <a:ext cx="3468600" cy="428532"/>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10</xdr:col>
      <xdr:colOff>391725</xdr:colOff>
      <xdr:row>17</xdr:row>
      <xdr:rowOff>43111</xdr:rowOff>
    </xdr:from>
    <xdr:to>
      <xdr:col>15</xdr:col>
      <xdr:colOff>914401</xdr:colOff>
      <xdr:row>23</xdr:row>
      <xdr:rowOff>152400</xdr:rowOff>
    </xdr:to>
    <xdr:sp macro="" textlink="rec">
      <xdr:nvSpPr>
        <xdr:cNvPr id="24" name="TextBox 23">
          <a:extLst>
            <a:ext uri="{FF2B5EF4-FFF2-40B4-BE49-F238E27FC236}">
              <a16:creationId xmlns:a16="http://schemas.microsoft.com/office/drawing/2014/main" id="{302F33A8-4442-44A9-A9B3-67125331E445}"/>
            </a:ext>
          </a:extLst>
        </xdr:cNvPr>
        <xdr:cNvSpPr txBox="1"/>
      </xdr:nvSpPr>
      <xdr:spPr>
        <a:xfrm>
          <a:off x="8611800" y="3853111"/>
          <a:ext cx="3570676" cy="12522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A86538-7F73-4D93-BCF7-1863E1BD31DA}" type="TxLink">
            <a:rPr lang="en-US" sz="1200" b="0" i="0" u="none" strike="noStrike">
              <a:solidFill>
                <a:srgbClr val="000000"/>
              </a:solidFill>
              <a:latin typeface="Calibri"/>
              <a:cs typeface="Calibri"/>
            </a:rPr>
            <a:pPr/>
            <a:t>1. Strengthen Python and BI Tools coverage (Intermediate+)
2. Add a second Project Management contributor for workload balance
3. Build domain knowledge through independent research</a:t>
          </a:fld>
          <a:endParaRPr lang="en-ZA" sz="1200"/>
        </a:p>
      </xdr:txBody>
    </xdr:sp>
    <xdr:clientData/>
  </xdr:twoCellAnchor>
  <xdr:twoCellAnchor>
    <xdr:from>
      <xdr:col>1</xdr:col>
      <xdr:colOff>434727</xdr:colOff>
      <xdr:row>4</xdr:row>
      <xdr:rowOff>63049</xdr:rowOff>
    </xdr:from>
    <xdr:to>
      <xdr:col>2</xdr:col>
      <xdr:colOff>1355725</xdr:colOff>
      <xdr:row>6</xdr:row>
      <xdr:rowOff>47625</xdr:rowOff>
    </xdr:to>
    <xdr:sp macro="" textlink="">
      <xdr:nvSpPr>
        <xdr:cNvPr id="26" name="TextBox 25">
          <a:extLst>
            <a:ext uri="{FF2B5EF4-FFF2-40B4-BE49-F238E27FC236}">
              <a16:creationId xmlns:a16="http://schemas.microsoft.com/office/drawing/2014/main" id="{A44B105F-9474-49EA-B8AA-12D61ED506A7}"/>
            </a:ext>
          </a:extLst>
        </xdr:cNvPr>
        <xdr:cNvSpPr txBox="1">
          <a:spLocks noChangeAspect="1"/>
        </xdr:cNvSpPr>
      </xdr:nvSpPr>
      <xdr:spPr>
        <a:xfrm>
          <a:off x="1044327" y="1339399"/>
          <a:ext cx="1530598" cy="3751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600"/>
            <a:t>Total Members</a:t>
          </a:r>
        </a:p>
        <a:p>
          <a:endParaRPr lang="en-ZA" sz="1100"/>
        </a:p>
      </xdr:txBody>
    </xdr:sp>
    <xdr:clientData/>
  </xdr:twoCellAnchor>
  <xdr:twoCellAnchor>
    <xdr:from>
      <xdr:col>2</xdr:col>
      <xdr:colOff>417312</xdr:colOff>
      <xdr:row>5</xdr:row>
      <xdr:rowOff>190032</xdr:rowOff>
    </xdr:from>
    <xdr:to>
      <xdr:col>2</xdr:col>
      <xdr:colOff>904459</xdr:colOff>
      <xdr:row>8</xdr:row>
      <xdr:rowOff>152400</xdr:rowOff>
    </xdr:to>
    <xdr:sp macro="" textlink="total_members">
      <xdr:nvSpPr>
        <xdr:cNvPr id="27" name="TextBox 26">
          <a:extLst>
            <a:ext uri="{FF2B5EF4-FFF2-40B4-BE49-F238E27FC236}">
              <a16:creationId xmlns:a16="http://schemas.microsoft.com/office/drawing/2014/main" id="{36CB1E5D-ED24-4389-941E-4521D054B53A}"/>
            </a:ext>
          </a:extLst>
        </xdr:cNvPr>
        <xdr:cNvSpPr txBox="1"/>
      </xdr:nvSpPr>
      <xdr:spPr>
        <a:xfrm>
          <a:off x="1636512" y="1656882"/>
          <a:ext cx="487147" cy="5624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1F5416-BC16-4699-8043-C4434C1BB5DB}" type="TxLink">
            <a:rPr lang="en-US" sz="2400" b="1" i="0" u="none" strike="noStrike">
              <a:solidFill>
                <a:srgbClr val="000000"/>
              </a:solidFill>
              <a:latin typeface="Calibri"/>
              <a:cs typeface="Calibri"/>
            </a:rPr>
            <a:pPr/>
            <a:t>3</a:t>
          </a:fld>
          <a:endParaRPr lang="en-ZA" sz="2400" b="1"/>
        </a:p>
      </xdr:txBody>
    </xdr:sp>
    <xdr:clientData/>
  </xdr:twoCellAnchor>
  <xdr:twoCellAnchor>
    <xdr:from>
      <xdr:col>1</xdr:col>
      <xdr:colOff>461496</xdr:colOff>
      <xdr:row>7</xdr:row>
      <xdr:rowOff>162486</xdr:rowOff>
    </xdr:from>
    <xdr:to>
      <xdr:col>2</xdr:col>
      <xdr:colOff>1456640</xdr:colOff>
      <xdr:row>9</xdr:row>
      <xdr:rowOff>51362</xdr:rowOff>
    </xdr:to>
    <xdr:sp macro="" textlink="">
      <xdr:nvSpPr>
        <xdr:cNvPr id="28" name="TextBox 27">
          <a:extLst>
            <a:ext uri="{FF2B5EF4-FFF2-40B4-BE49-F238E27FC236}">
              <a16:creationId xmlns:a16="http://schemas.microsoft.com/office/drawing/2014/main" id="{4B17A6B7-1EB4-4D9C-B0C4-6C73FEAAE6E7}"/>
            </a:ext>
          </a:extLst>
        </xdr:cNvPr>
        <xdr:cNvSpPr txBox="1"/>
      </xdr:nvSpPr>
      <xdr:spPr>
        <a:xfrm>
          <a:off x="1071096" y="1972236"/>
          <a:ext cx="1604744" cy="2698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600"/>
            <a:t>Available</a:t>
          </a:r>
          <a:r>
            <a:rPr lang="en-ZA" sz="1600" baseline="0"/>
            <a:t> Space</a:t>
          </a:r>
        </a:p>
        <a:p>
          <a:endParaRPr lang="en-ZA" sz="1600"/>
        </a:p>
        <a:p>
          <a:endParaRPr lang="en-ZA" sz="1100"/>
        </a:p>
      </xdr:txBody>
    </xdr:sp>
    <xdr:clientData/>
  </xdr:twoCellAnchor>
  <xdr:twoCellAnchor>
    <xdr:from>
      <xdr:col>0</xdr:col>
      <xdr:colOff>282375</xdr:colOff>
      <xdr:row>4</xdr:row>
      <xdr:rowOff>67853</xdr:rowOff>
    </xdr:from>
    <xdr:to>
      <xdr:col>1</xdr:col>
      <xdr:colOff>176775</xdr:colOff>
      <xdr:row>6</xdr:row>
      <xdr:rowOff>136878</xdr:rowOff>
    </xdr:to>
    <xdr:grpSp>
      <xdr:nvGrpSpPr>
        <xdr:cNvPr id="29" name="Group 28">
          <a:extLst>
            <a:ext uri="{FF2B5EF4-FFF2-40B4-BE49-F238E27FC236}">
              <a16:creationId xmlns:a16="http://schemas.microsoft.com/office/drawing/2014/main" id="{B5A680F6-81B1-4557-AD08-C3190E454C5E}"/>
            </a:ext>
          </a:extLst>
        </xdr:cNvPr>
        <xdr:cNvGrpSpPr>
          <a:grpSpLocks noChangeAspect="1"/>
        </xdr:cNvGrpSpPr>
      </xdr:nvGrpSpPr>
      <xdr:grpSpPr>
        <a:xfrm>
          <a:off x="282375" y="1344203"/>
          <a:ext cx="504000" cy="459550"/>
          <a:chOff x="356659" y="1447801"/>
          <a:chExt cx="521758" cy="478366"/>
        </a:xfrm>
      </xdr:grpSpPr>
      <xdr:sp macro="" textlink="">
        <xdr:nvSpPr>
          <xdr:cNvPr id="30" name="Oval 29">
            <a:extLst>
              <a:ext uri="{FF2B5EF4-FFF2-40B4-BE49-F238E27FC236}">
                <a16:creationId xmlns:a16="http://schemas.microsoft.com/office/drawing/2014/main" id="{8C8523F3-764D-3897-17E2-CAD59516C157}"/>
              </a:ext>
            </a:extLst>
          </xdr:cNvPr>
          <xdr:cNvSpPr/>
        </xdr:nvSpPr>
        <xdr:spPr>
          <a:xfrm>
            <a:off x="356659" y="1447801"/>
            <a:ext cx="521758" cy="478366"/>
          </a:xfrm>
          <a:prstGeom prst="ellipse">
            <a:avLst/>
          </a:prstGeo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pic>
        <xdr:nvPicPr>
          <xdr:cNvPr id="31" name="Graphic 30" descr="Users with solid fill">
            <a:extLst>
              <a:ext uri="{FF2B5EF4-FFF2-40B4-BE49-F238E27FC236}">
                <a16:creationId xmlns:a16="http://schemas.microsoft.com/office/drawing/2014/main" id="{B19DC09A-9BDD-50B2-9393-464CE5E3029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41267" y="1513031"/>
            <a:ext cx="338438" cy="347903"/>
          </a:xfrm>
          <a:prstGeom prst="rect">
            <a:avLst/>
          </a:prstGeom>
          <a:effectLst>
            <a:outerShdw blurRad="50800" dist="38100" dir="2700000" algn="tl" rotWithShape="0">
              <a:prstClr val="black">
                <a:alpha val="40000"/>
              </a:prstClr>
            </a:outerShdw>
          </a:effectLst>
        </xdr:spPr>
      </xdr:pic>
    </xdr:grpSp>
    <xdr:clientData/>
  </xdr:twoCellAnchor>
  <xdr:twoCellAnchor>
    <xdr:from>
      <xdr:col>1</xdr:col>
      <xdr:colOff>36980</xdr:colOff>
      <xdr:row>2</xdr:row>
      <xdr:rowOff>142875</xdr:rowOff>
    </xdr:from>
    <xdr:to>
      <xdr:col>3</xdr:col>
      <xdr:colOff>246530</xdr:colOff>
      <xdr:row>26</xdr:row>
      <xdr:rowOff>152400</xdr:rowOff>
    </xdr:to>
    <xdr:sp macro="" textlink="">
      <xdr:nvSpPr>
        <xdr:cNvPr id="32" name="Rectangle: Rounded Corners 31">
          <a:extLst>
            <a:ext uri="{FF2B5EF4-FFF2-40B4-BE49-F238E27FC236}">
              <a16:creationId xmlns:a16="http://schemas.microsoft.com/office/drawing/2014/main" id="{ECCD86EA-2800-4C78-BA37-040EB31CDB03}"/>
            </a:ext>
          </a:extLst>
        </xdr:cNvPr>
        <xdr:cNvSpPr/>
      </xdr:nvSpPr>
      <xdr:spPr>
        <a:xfrm>
          <a:off x="646580" y="933450"/>
          <a:ext cx="2705100" cy="4781550"/>
        </a:xfrm>
        <a:prstGeom prst="roundRect">
          <a:avLst/>
        </a:prstGeom>
        <a:no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editAs="absolute">
    <xdr:from>
      <xdr:col>14</xdr:col>
      <xdr:colOff>85725</xdr:colOff>
      <xdr:row>3</xdr:row>
      <xdr:rowOff>1123</xdr:rowOff>
    </xdr:from>
    <xdr:to>
      <xdr:col>15</xdr:col>
      <xdr:colOff>1228725</xdr:colOff>
      <xdr:row>14</xdr:row>
      <xdr:rowOff>85725</xdr:rowOff>
    </xdr:to>
    <mc:AlternateContent xmlns:mc="http://schemas.openxmlformats.org/markup-compatibility/2006" xmlns:a14="http://schemas.microsoft.com/office/drawing/2010/main">
      <mc:Choice Requires="a14">
        <xdr:graphicFrame macro="">
          <xdr:nvGraphicFramePr>
            <xdr:cNvPr id="33" name="skill 1">
              <a:extLst>
                <a:ext uri="{FF2B5EF4-FFF2-40B4-BE49-F238E27FC236}">
                  <a16:creationId xmlns:a16="http://schemas.microsoft.com/office/drawing/2014/main" id="{BBE43981-BAC1-4907-9EA0-BDF5B1733C76}"/>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skill 1"/>
            </a:graphicData>
          </a:graphic>
        </xdr:graphicFrame>
      </mc:Choice>
      <mc:Fallback xmlns="">
        <xdr:sp macro="" textlink="">
          <xdr:nvSpPr>
            <xdr:cNvPr id="0" name=""/>
            <xdr:cNvSpPr>
              <a:spLocks noTextEdit="1"/>
            </xdr:cNvSpPr>
          </xdr:nvSpPr>
          <xdr:spPr>
            <a:xfrm>
              <a:off x="10744200" y="982198"/>
              <a:ext cx="1752600" cy="238012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114301</xdr:colOff>
      <xdr:row>2</xdr:row>
      <xdr:rowOff>123825</xdr:rowOff>
    </xdr:from>
    <xdr:to>
      <xdr:col>3</xdr:col>
      <xdr:colOff>180975</xdr:colOff>
      <xdr:row>25</xdr:row>
      <xdr:rowOff>47624</xdr:rowOff>
    </xdr:to>
    <xdr:sp macro="" textlink="">
      <xdr:nvSpPr>
        <xdr:cNvPr id="34" name="Rectangle: Rounded Corners 33">
          <a:extLst>
            <a:ext uri="{FF2B5EF4-FFF2-40B4-BE49-F238E27FC236}">
              <a16:creationId xmlns:a16="http://schemas.microsoft.com/office/drawing/2014/main" id="{95B0C666-C9AD-4CB7-A3F5-75FAABE14B79}"/>
            </a:ext>
          </a:extLst>
        </xdr:cNvPr>
        <xdr:cNvSpPr/>
      </xdr:nvSpPr>
      <xdr:spPr>
        <a:xfrm>
          <a:off x="114301" y="914400"/>
          <a:ext cx="3171824" cy="4505324"/>
        </a:xfrm>
        <a:prstGeom prst="roundRect">
          <a:avLst/>
        </a:prstGeom>
        <a:solidFill>
          <a:srgbClr val="DFF1D3">
            <a:alpha val="5098"/>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6</xdr:col>
      <xdr:colOff>449356</xdr:colOff>
      <xdr:row>7</xdr:row>
      <xdr:rowOff>99732</xdr:rowOff>
    </xdr:from>
    <xdr:to>
      <xdr:col>8</xdr:col>
      <xdr:colOff>292473</xdr:colOff>
      <xdr:row>12</xdr:row>
      <xdr:rowOff>144556</xdr:rowOff>
    </xdr:to>
    <xdr:sp macro="" textlink="">
      <xdr:nvSpPr>
        <xdr:cNvPr id="35" name="Rectangle: Rounded Corners 34">
          <a:extLst>
            <a:ext uri="{FF2B5EF4-FFF2-40B4-BE49-F238E27FC236}">
              <a16:creationId xmlns:a16="http://schemas.microsoft.com/office/drawing/2014/main" id="{5B065A7D-E4BB-466D-9A8D-643FCBDF38A7}"/>
            </a:ext>
          </a:extLst>
        </xdr:cNvPr>
        <xdr:cNvSpPr/>
      </xdr:nvSpPr>
      <xdr:spPr>
        <a:xfrm>
          <a:off x="5383306" y="1947582"/>
          <a:ext cx="1405217" cy="99732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364752</xdr:colOff>
      <xdr:row>15</xdr:row>
      <xdr:rowOff>112060</xdr:rowOff>
    </xdr:from>
    <xdr:to>
      <xdr:col>13</xdr:col>
      <xdr:colOff>314325</xdr:colOff>
      <xdr:row>17</xdr:row>
      <xdr:rowOff>22412</xdr:rowOff>
    </xdr:to>
    <xdr:sp macro="" textlink="">
      <xdr:nvSpPr>
        <xdr:cNvPr id="36" name="TextBox 35">
          <a:extLst>
            <a:ext uri="{FF2B5EF4-FFF2-40B4-BE49-F238E27FC236}">
              <a16:creationId xmlns:a16="http://schemas.microsoft.com/office/drawing/2014/main" id="{8E7AFA08-5FF2-4F88-B441-7B27608B5106}"/>
            </a:ext>
          </a:extLst>
        </xdr:cNvPr>
        <xdr:cNvSpPr txBox="1"/>
      </xdr:nvSpPr>
      <xdr:spPr>
        <a:xfrm>
          <a:off x="8851527" y="3531535"/>
          <a:ext cx="1778373" cy="291352"/>
        </a:xfrm>
        <a:prstGeom prst="rect">
          <a:avLst/>
        </a:prstGeom>
        <a:solidFill>
          <a:srgbClr val="E2DFC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400" b="1"/>
            <a:t>RECOMMENDATIONS</a:t>
          </a:r>
        </a:p>
      </xdr:txBody>
    </xdr:sp>
    <xdr:clientData/>
  </xdr:twoCellAnchor>
  <xdr:twoCellAnchor>
    <xdr:from>
      <xdr:col>10</xdr:col>
      <xdr:colOff>167527</xdr:colOff>
      <xdr:row>14</xdr:row>
      <xdr:rowOff>157442</xdr:rowOff>
    </xdr:from>
    <xdr:to>
      <xdr:col>15</xdr:col>
      <xdr:colOff>1001805</xdr:colOff>
      <xdr:row>24</xdr:row>
      <xdr:rowOff>67796</xdr:rowOff>
    </xdr:to>
    <xdr:sp macro="" textlink="">
      <xdr:nvSpPr>
        <xdr:cNvPr id="37" name="Rectangle: Rounded Corners 36">
          <a:extLst>
            <a:ext uri="{FF2B5EF4-FFF2-40B4-BE49-F238E27FC236}">
              <a16:creationId xmlns:a16="http://schemas.microsoft.com/office/drawing/2014/main" id="{107453A4-F693-43B9-940E-BCAD2746061E}"/>
            </a:ext>
          </a:extLst>
        </xdr:cNvPr>
        <xdr:cNvSpPr/>
      </xdr:nvSpPr>
      <xdr:spPr>
        <a:xfrm>
          <a:off x="8387602" y="3395942"/>
          <a:ext cx="3882278" cy="1815354"/>
        </a:xfrm>
        <a:prstGeom prst="roundRect">
          <a:avLst/>
        </a:prstGeom>
        <a:solidFill>
          <a:srgbClr val="DFF1D3">
            <a:alpha val="5098"/>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5</xdr:col>
      <xdr:colOff>581024</xdr:colOff>
      <xdr:row>5</xdr:row>
      <xdr:rowOff>28575</xdr:rowOff>
    </xdr:from>
    <xdr:to>
      <xdr:col>8</xdr:col>
      <xdr:colOff>123825</xdr:colOff>
      <xdr:row>10</xdr:row>
      <xdr:rowOff>47625</xdr:rowOff>
    </xdr:to>
    <xdr:sp macro="" textlink="">
      <xdr:nvSpPr>
        <xdr:cNvPr id="38" name="Rectangle: Rounded Corners 37">
          <a:extLst>
            <a:ext uri="{FF2B5EF4-FFF2-40B4-BE49-F238E27FC236}">
              <a16:creationId xmlns:a16="http://schemas.microsoft.com/office/drawing/2014/main" id="{8A1F6E36-5746-4479-9DBB-DECE3952129A}"/>
            </a:ext>
          </a:extLst>
        </xdr:cNvPr>
        <xdr:cNvSpPr/>
      </xdr:nvSpPr>
      <xdr:spPr>
        <a:xfrm>
          <a:off x="4905374" y="1495425"/>
          <a:ext cx="1447801" cy="1019175"/>
        </a:xfrm>
        <a:prstGeom prst="roundRect">
          <a:avLst/>
        </a:prstGeom>
        <a:solidFill>
          <a:srgbClr val="DFF1D3">
            <a:alpha val="5098"/>
          </a:srgbClr>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38100</xdr:colOff>
      <xdr:row>2</xdr:row>
      <xdr:rowOff>19050</xdr:rowOff>
    </xdr:from>
    <xdr:to>
      <xdr:col>23</xdr:col>
      <xdr:colOff>571500</xdr:colOff>
      <xdr:row>2</xdr:row>
      <xdr:rowOff>19050</xdr:rowOff>
    </xdr:to>
    <xdr:cxnSp macro="">
      <xdr:nvCxnSpPr>
        <xdr:cNvPr id="3" name="Straight Connector 2">
          <a:extLst>
            <a:ext uri="{FF2B5EF4-FFF2-40B4-BE49-F238E27FC236}">
              <a16:creationId xmlns:a16="http://schemas.microsoft.com/office/drawing/2014/main" id="{DAF62819-188F-69E0-D0A2-BFC90AE3A32E}"/>
            </a:ext>
          </a:extLst>
        </xdr:cNvPr>
        <xdr:cNvCxnSpPr/>
      </xdr:nvCxnSpPr>
      <xdr:spPr>
        <a:xfrm>
          <a:off x="38100" y="800100"/>
          <a:ext cx="14554200" cy="0"/>
        </a:xfrm>
        <a:prstGeom prst="line">
          <a:avLst/>
        </a:prstGeom>
        <a:ln>
          <a:solidFill>
            <a:schemeClr val="accent1">
              <a:lumMod val="40000"/>
              <a:lumOff val="60000"/>
            </a:schemeClr>
          </a:solidFill>
        </a:ln>
        <a:effectLst>
          <a:outerShdw blurRad="50800" dist="38100" dir="5400000" algn="t" rotWithShape="0">
            <a:prstClr val="black">
              <a:alpha val="40000"/>
            </a:prstClr>
          </a:outerShdw>
        </a:effectLst>
      </xdr:spPr>
      <xdr:style>
        <a:lnRef idx="3">
          <a:schemeClr val="accent3"/>
        </a:lnRef>
        <a:fillRef idx="0">
          <a:schemeClr val="accent3"/>
        </a:fillRef>
        <a:effectRef idx="2">
          <a:schemeClr val="accent3"/>
        </a:effectRef>
        <a:fontRef idx="minor">
          <a:schemeClr val="tx1"/>
        </a:fontRef>
      </xdr:style>
    </xdr:cxnSp>
    <xdr:clientData/>
  </xdr:twoCellAnchor>
  <xdr:twoCellAnchor>
    <xdr:from>
      <xdr:col>0</xdr:col>
      <xdr:colOff>276226</xdr:colOff>
      <xdr:row>3</xdr:row>
      <xdr:rowOff>104775</xdr:rowOff>
    </xdr:from>
    <xdr:to>
      <xdr:col>1</xdr:col>
      <xdr:colOff>390526</xdr:colOff>
      <xdr:row>5</xdr:row>
      <xdr:rowOff>295275</xdr:rowOff>
    </xdr:to>
    <xdr:grpSp>
      <xdr:nvGrpSpPr>
        <xdr:cNvPr id="22" name="Group 21">
          <a:extLst>
            <a:ext uri="{FF2B5EF4-FFF2-40B4-BE49-F238E27FC236}">
              <a16:creationId xmlns:a16="http://schemas.microsoft.com/office/drawing/2014/main" id="{D4A62E54-C90A-EA15-D947-CD3AAECC3A11}"/>
            </a:ext>
          </a:extLst>
        </xdr:cNvPr>
        <xdr:cNvGrpSpPr/>
      </xdr:nvGrpSpPr>
      <xdr:grpSpPr>
        <a:xfrm>
          <a:off x="276226" y="1152525"/>
          <a:ext cx="723900" cy="676275"/>
          <a:chOff x="466726" y="1276350"/>
          <a:chExt cx="723900" cy="676275"/>
        </a:xfrm>
      </xdr:grpSpPr>
      <xdr:sp macro="" textlink="">
        <xdr:nvSpPr>
          <xdr:cNvPr id="7" name="Oval 6">
            <a:extLst>
              <a:ext uri="{FF2B5EF4-FFF2-40B4-BE49-F238E27FC236}">
                <a16:creationId xmlns:a16="http://schemas.microsoft.com/office/drawing/2014/main" id="{04BF298D-CF30-EEA3-AD87-B314837CCFC9}"/>
              </a:ext>
            </a:extLst>
          </xdr:cNvPr>
          <xdr:cNvSpPr/>
        </xdr:nvSpPr>
        <xdr:spPr>
          <a:xfrm>
            <a:off x="466726" y="1276350"/>
            <a:ext cx="723900" cy="676275"/>
          </a:xfrm>
          <a:prstGeom prst="ellipse">
            <a:avLst/>
          </a:prstGeom>
          <a:solidFill>
            <a:srgbClr val="C2E088">
              <a:alpha val="5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pic>
        <xdr:nvPicPr>
          <xdr:cNvPr id="6" name="Graphic 5" descr="Gears with solid fill">
            <a:extLst>
              <a:ext uri="{FF2B5EF4-FFF2-40B4-BE49-F238E27FC236}">
                <a16:creationId xmlns:a16="http://schemas.microsoft.com/office/drawing/2014/main" id="{D1144C4B-012A-4650-A710-273886E8B3F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0075" y="1409700"/>
            <a:ext cx="428625" cy="428625"/>
          </a:xfrm>
          <a:prstGeom prst="rect">
            <a:avLst/>
          </a:prstGeom>
          <a:effectLst>
            <a:outerShdw blurRad="50800" dist="38100" dir="2700000" algn="tl" rotWithShape="0">
              <a:prstClr val="black">
                <a:alpha val="40000"/>
              </a:prstClr>
            </a:outerShdw>
          </a:effectLst>
        </xdr:spPr>
      </xdr:pic>
    </xdr:grpSp>
    <xdr:clientData/>
  </xdr:twoCellAnchor>
  <xdr:twoCellAnchor>
    <xdr:from>
      <xdr:col>0</xdr:col>
      <xdr:colOff>457200</xdr:colOff>
      <xdr:row>7</xdr:row>
      <xdr:rowOff>9525</xdr:rowOff>
    </xdr:from>
    <xdr:to>
      <xdr:col>3</xdr:col>
      <xdr:colOff>142875</xdr:colOff>
      <xdr:row>7</xdr:row>
      <xdr:rowOff>19050</xdr:rowOff>
    </xdr:to>
    <xdr:cxnSp macro="">
      <xdr:nvCxnSpPr>
        <xdr:cNvPr id="9" name="Straight Connector 8">
          <a:extLst>
            <a:ext uri="{FF2B5EF4-FFF2-40B4-BE49-F238E27FC236}">
              <a16:creationId xmlns:a16="http://schemas.microsoft.com/office/drawing/2014/main" id="{4C43A4FA-DADD-D655-0331-358C8CBBE19E}"/>
            </a:ext>
          </a:extLst>
        </xdr:cNvPr>
        <xdr:cNvCxnSpPr/>
      </xdr:nvCxnSpPr>
      <xdr:spPr>
        <a:xfrm flipV="1">
          <a:off x="457200" y="2066925"/>
          <a:ext cx="4638675" cy="9525"/>
        </a:xfrm>
        <a:prstGeom prst="line">
          <a:avLst/>
        </a:prstGeom>
        <a:ln>
          <a:solidFill>
            <a:srgbClr val="DFF1D3">
              <a:alpha val="40000"/>
            </a:srgbClr>
          </a:solidFill>
        </a:ln>
        <a:effectLst>
          <a:outerShdw blurRad="63500" sx="102000" sy="102000" algn="ctr" rotWithShape="0">
            <a:prstClr val="black">
              <a:alpha val="40000"/>
            </a:prstClr>
          </a:outerShdw>
        </a:effectLst>
      </xdr:spPr>
      <xdr:style>
        <a:lnRef idx="3">
          <a:schemeClr val="accent2"/>
        </a:lnRef>
        <a:fillRef idx="0">
          <a:schemeClr val="accent2"/>
        </a:fillRef>
        <a:effectRef idx="2">
          <a:schemeClr val="accent2"/>
        </a:effectRef>
        <a:fontRef idx="minor">
          <a:schemeClr val="tx1"/>
        </a:fontRef>
      </xdr:style>
    </xdr:cxnSp>
    <xdr:clientData/>
  </xdr:twoCellAnchor>
  <xdr:twoCellAnchor>
    <xdr:from>
      <xdr:col>0</xdr:col>
      <xdr:colOff>238125</xdr:colOff>
      <xdr:row>7</xdr:row>
      <xdr:rowOff>142875</xdr:rowOff>
    </xdr:from>
    <xdr:to>
      <xdr:col>1</xdr:col>
      <xdr:colOff>352425</xdr:colOff>
      <xdr:row>10</xdr:row>
      <xdr:rowOff>0</xdr:rowOff>
    </xdr:to>
    <xdr:grpSp>
      <xdr:nvGrpSpPr>
        <xdr:cNvPr id="25" name="Group 24">
          <a:extLst>
            <a:ext uri="{FF2B5EF4-FFF2-40B4-BE49-F238E27FC236}">
              <a16:creationId xmlns:a16="http://schemas.microsoft.com/office/drawing/2014/main" id="{91D48675-784F-F2AD-9DB5-2AD759E538E4}"/>
            </a:ext>
          </a:extLst>
        </xdr:cNvPr>
        <xdr:cNvGrpSpPr/>
      </xdr:nvGrpSpPr>
      <xdr:grpSpPr>
        <a:xfrm>
          <a:off x="238125" y="2200275"/>
          <a:ext cx="723900" cy="676275"/>
          <a:chOff x="238125" y="2200275"/>
          <a:chExt cx="723900" cy="676275"/>
        </a:xfrm>
      </xdr:grpSpPr>
      <xdr:sp macro="" textlink="">
        <xdr:nvSpPr>
          <xdr:cNvPr id="21" name="Oval 20">
            <a:extLst>
              <a:ext uri="{FF2B5EF4-FFF2-40B4-BE49-F238E27FC236}">
                <a16:creationId xmlns:a16="http://schemas.microsoft.com/office/drawing/2014/main" id="{C9ED71CA-5AB4-40F9-93C8-2EA44A642316}"/>
              </a:ext>
            </a:extLst>
          </xdr:cNvPr>
          <xdr:cNvSpPr/>
        </xdr:nvSpPr>
        <xdr:spPr>
          <a:xfrm>
            <a:off x="238125" y="2200275"/>
            <a:ext cx="723900" cy="676275"/>
          </a:xfrm>
          <a:prstGeom prst="ellipse">
            <a:avLst/>
          </a:prstGeom>
          <a:solidFill>
            <a:srgbClr val="C2E088">
              <a:alpha val="5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pic>
        <xdr:nvPicPr>
          <xdr:cNvPr id="23" name="Graphic 22" descr="Signal with solid fill">
            <a:extLst>
              <a:ext uri="{FF2B5EF4-FFF2-40B4-BE49-F238E27FC236}">
                <a16:creationId xmlns:a16="http://schemas.microsoft.com/office/drawing/2014/main" id="{603A93B6-00FF-4E9B-8F0A-B60A079D77F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90525" y="2324100"/>
            <a:ext cx="419101" cy="419101"/>
          </a:xfrm>
          <a:prstGeom prst="rect">
            <a:avLst/>
          </a:prstGeom>
          <a:effectLst>
            <a:outerShdw blurRad="50800" dist="38100" dir="2700000" algn="tl" rotWithShape="0">
              <a:prstClr val="black">
                <a:alpha val="40000"/>
              </a:prstClr>
            </a:outerShdw>
          </a:effectLst>
        </xdr:spPr>
      </xdr:pic>
    </xdr:grpSp>
    <xdr:clientData/>
  </xdr:twoCellAnchor>
  <xdr:twoCellAnchor>
    <xdr:from>
      <xdr:col>0</xdr:col>
      <xdr:colOff>219075</xdr:colOff>
      <xdr:row>12</xdr:row>
      <xdr:rowOff>9525</xdr:rowOff>
    </xdr:from>
    <xdr:to>
      <xdr:col>3</xdr:col>
      <xdr:colOff>76200</xdr:colOff>
      <xdr:row>16</xdr:row>
      <xdr:rowOff>47625</xdr:rowOff>
    </xdr:to>
    <xdr:grpSp>
      <xdr:nvGrpSpPr>
        <xdr:cNvPr id="30" name="Group 29">
          <a:extLst>
            <a:ext uri="{FF2B5EF4-FFF2-40B4-BE49-F238E27FC236}">
              <a16:creationId xmlns:a16="http://schemas.microsoft.com/office/drawing/2014/main" id="{AF375879-1702-A60D-49CF-13AAE5AB096F}"/>
            </a:ext>
          </a:extLst>
        </xdr:cNvPr>
        <xdr:cNvGrpSpPr/>
      </xdr:nvGrpSpPr>
      <xdr:grpSpPr>
        <a:xfrm>
          <a:off x="219075" y="3267075"/>
          <a:ext cx="4810125" cy="904875"/>
          <a:chOff x="219075" y="3267075"/>
          <a:chExt cx="4810125" cy="904875"/>
        </a:xfrm>
      </xdr:grpSpPr>
      <xdr:cxnSp macro="">
        <xdr:nvCxnSpPr>
          <xdr:cNvPr id="19" name="Straight Connector 18">
            <a:extLst>
              <a:ext uri="{FF2B5EF4-FFF2-40B4-BE49-F238E27FC236}">
                <a16:creationId xmlns:a16="http://schemas.microsoft.com/office/drawing/2014/main" id="{3E01FBB8-B9BD-473B-9E0A-0FDCB2F1EEBE}"/>
              </a:ext>
            </a:extLst>
          </xdr:cNvPr>
          <xdr:cNvCxnSpPr/>
        </xdr:nvCxnSpPr>
        <xdr:spPr>
          <a:xfrm flipV="1">
            <a:off x="390525" y="3267075"/>
            <a:ext cx="4638675" cy="9525"/>
          </a:xfrm>
          <a:prstGeom prst="line">
            <a:avLst/>
          </a:prstGeom>
          <a:ln>
            <a:solidFill>
              <a:srgbClr val="DFF1D3">
                <a:alpha val="40000"/>
              </a:srgbClr>
            </a:solidFill>
          </a:ln>
          <a:effectLst>
            <a:outerShdw blurRad="63500" sx="102000" sy="102000" algn="ctr" rotWithShape="0">
              <a:prstClr val="black">
                <a:alpha val="40000"/>
              </a:prstClr>
            </a:outerShdw>
          </a:effectLst>
        </xdr:spPr>
        <xdr:style>
          <a:lnRef idx="3">
            <a:schemeClr val="accent2"/>
          </a:lnRef>
          <a:fillRef idx="0">
            <a:schemeClr val="accent2"/>
          </a:fillRef>
          <a:effectRef idx="2">
            <a:schemeClr val="accent2"/>
          </a:effectRef>
          <a:fontRef idx="minor">
            <a:schemeClr val="tx1"/>
          </a:fontRef>
        </xdr:style>
      </xdr:cxnSp>
      <xdr:sp macro="" textlink="">
        <xdr:nvSpPr>
          <xdr:cNvPr id="24" name="Oval 23">
            <a:extLst>
              <a:ext uri="{FF2B5EF4-FFF2-40B4-BE49-F238E27FC236}">
                <a16:creationId xmlns:a16="http://schemas.microsoft.com/office/drawing/2014/main" id="{EF7AA134-267D-4781-AE8F-0A0AB51602CD}"/>
              </a:ext>
            </a:extLst>
          </xdr:cNvPr>
          <xdr:cNvSpPr/>
        </xdr:nvSpPr>
        <xdr:spPr>
          <a:xfrm>
            <a:off x="219075" y="3390900"/>
            <a:ext cx="723900" cy="781050"/>
          </a:xfrm>
          <a:prstGeom prst="ellipse">
            <a:avLst/>
          </a:prstGeom>
          <a:solidFill>
            <a:srgbClr val="C2E088">
              <a:alpha val="5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pic>
        <xdr:nvPicPr>
          <xdr:cNvPr id="26" name="Graphic 25" descr="Users with solid fill">
            <a:extLst>
              <a:ext uri="{FF2B5EF4-FFF2-40B4-BE49-F238E27FC236}">
                <a16:creationId xmlns:a16="http://schemas.microsoft.com/office/drawing/2014/main" id="{B80DE48D-C8B7-402C-B1E4-EF12115115D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51" y="3543300"/>
            <a:ext cx="514350" cy="514350"/>
          </a:xfrm>
          <a:prstGeom prst="rect">
            <a:avLst/>
          </a:prstGeom>
          <a:effectLst>
            <a:outerShdw blurRad="50800" dist="38100" dir="2700000" algn="tl" rotWithShape="0">
              <a:prstClr val="black">
                <a:alpha val="40000"/>
              </a:prstClr>
            </a:outerShdw>
          </a:effectLst>
        </xdr:spPr>
      </xdr:pic>
    </xdr:grpSp>
    <xdr:clientData/>
  </xdr:twoCellAnchor>
  <xdr:twoCellAnchor>
    <xdr:from>
      <xdr:col>2</xdr:col>
      <xdr:colOff>1533526</xdr:colOff>
      <xdr:row>13</xdr:row>
      <xdr:rowOff>180975</xdr:rowOff>
    </xdr:from>
    <xdr:to>
      <xdr:col>2</xdr:col>
      <xdr:colOff>3057526</xdr:colOff>
      <xdr:row>16</xdr:row>
      <xdr:rowOff>19050</xdr:rowOff>
    </xdr:to>
    <xdr:sp macro="" textlink="proficiency_cal">
      <xdr:nvSpPr>
        <xdr:cNvPr id="27" name="TextBox 26">
          <a:extLst>
            <a:ext uri="{FF2B5EF4-FFF2-40B4-BE49-F238E27FC236}">
              <a16:creationId xmlns:a16="http://schemas.microsoft.com/office/drawing/2014/main" id="{9B65E9B9-AFA9-1A00-D3FE-1CC7DA1931A5}"/>
            </a:ext>
          </a:extLst>
        </xdr:cNvPr>
        <xdr:cNvSpPr txBox="1"/>
      </xdr:nvSpPr>
      <xdr:spPr>
        <a:xfrm>
          <a:off x="2752726" y="3629025"/>
          <a:ext cx="1524000" cy="514350"/>
        </a:xfrm>
        <a:prstGeom prst="rect">
          <a:avLst/>
        </a:prstGeom>
        <a:noFill/>
        <a:ln w="9525" cmpd="sng">
          <a:no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C38DAF7-7C47-4B10-80E0-852D47601952}" type="TxLink">
            <a:rPr lang="en-US" sz="2800" b="0" i="0" u="none" strike="noStrike">
              <a:solidFill>
                <a:schemeClr val="accent2">
                  <a:lumMod val="50000"/>
                </a:schemeClr>
              </a:solidFill>
              <a:latin typeface="Calibri"/>
              <a:cs typeface="Calibri"/>
            </a:rPr>
            <a:pPr/>
            <a:t>50%</a:t>
          </a:fld>
          <a:endParaRPr lang="en-ZA" sz="2800">
            <a:solidFill>
              <a:schemeClr val="accent2">
                <a:lumMod val="50000"/>
              </a:schemeClr>
            </a:solidFill>
          </a:endParaRPr>
        </a:p>
      </xdr:txBody>
    </xdr:sp>
    <xdr:clientData/>
  </xdr:twoCellAnchor>
  <xdr:twoCellAnchor>
    <xdr:from>
      <xdr:col>2</xdr:col>
      <xdr:colOff>0</xdr:colOff>
      <xdr:row>16</xdr:row>
      <xdr:rowOff>9525</xdr:rowOff>
    </xdr:from>
    <xdr:to>
      <xdr:col>3</xdr:col>
      <xdr:colOff>104775</xdr:colOff>
      <xdr:row>20</xdr:row>
      <xdr:rowOff>47625</xdr:rowOff>
    </xdr:to>
    <xdr:sp macro="" textlink="message">
      <xdr:nvSpPr>
        <xdr:cNvPr id="28" name="TextBox 27">
          <a:extLst>
            <a:ext uri="{FF2B5EF4-FFF2-40B4-BE49-F238E27FC236}">
              <a16:creationId xmlns:a16="http://schemas.microsoft.com/office/drawing/2014/main" id="{944B7EF2-EC34-D6CD-54C9-14BBC846058A}"/>
            </a:ext>
          </a:extLst>
        </xdr:cNvPr>
        <xdr:cNvSpPr txBox="1"/>
      </xdr:nvSpPr>
      <xdr:spPr>
        <a:xfrm>
          <a:off x="1219200" y="4133850"/>
          <a:ext cx="3838575" cy="800100"/>
        </a:xfrm>
        <a:prstGeom prst="rect">
          <a:avLst/>
        </a:prstGeom>
        <a:solidFill>
          <a:srgbClr val="EBF5D7"/>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96CAC75-8CBE-4358-94B0-1D266C2A7681}" type="TxLink">
            <a:rPr lang="en-US" sz="1800" b="0" i="0" u="none" strike="noStrike">
              <a:solidFill>
                <a:srgbClr val="000000"/>
              </a:solidFill>
              <a:latin typeface="Calibri"/>
              <a:cs typeface="Calibri"/>
            </a:rPr>
            <a:pPr algn="l"/>
            <a:t>50% of respondents have Spreadsheets skills at Intermediate proficiency</a:t>
          </a:fld>
          <a:endParaRPr lang="en-ZA" sz="1800"/>
        </a:p>
      </xdr:txBody>
    </xdr:sp>
    <xdr:clientData/>
  </xdr:twoCellAnchor>
  <xdr:twoCellAnchor>
    <xdr:from>
      <xdr:col>0</xdr:col>
      <xdr:colOff>47625</xdr:colOff>
      <xdr:row>12</xdr:row>
      <xdr:rowOff>133350</xdr:rowOff>
    </xdr:from>
    <xdr:to>
      <xdr:col>3</xdr:col>
      <xdr:colOff>561975</xdr:colOff>
      <xdr:row>22</xdr:row>
      <xdr:rowOff>19050</xdr:rowOff>
    </xdr:to>
    <xdr:sp macro="" textlink="">
      <xdr:nvSpPr>
        <xdr:cNvPr id="29" name="Rectangle: Rounded Corners 28">
          <a:extLst>
            <a:ext uri="{FF2B5EF4-FFF2-40B4-BE49-F238E27FC236}">
              <a16:creationId xmlns:a16="http://schemas.microsoft.com/office/drawing/2014/main" id="{B9FD93C1-8B72-2FDC-94D5-B46B50361F6B}"/>
            </a:ext>
          </a:extLst>
        </xdr:cNvPr>
        <xdr:cNvSpPr/>
      </xdr:nvSpPr>
      <xdr:spPr>
        <a:xfrm>
          <a:off x="47625" y="3390900"/>
          <a:ext cx="5467350" cy="1895475"/>
        </a:xfrm>
        <a:prstGeom prst="roundRect">
          <a:avLst/>
        </a:prstGeom>
        <a:solidFill>
          <a:srgbClr val="DFF1D3">
            <a:alpha val="2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4</xdr:col>
      <xdr:colOff>571499</xdr:colOff>
      <xdr:row>3</xdr:row>
      <xdr:rowOff>171449</xdr:rowOff>
    </xdr:from>
    <xdr:to>
      <xdr:col>12</xdr:col>
      <xdr:colOff>9524</xdr:colOff>
      <xdr:row>22</xdr:row>
      <xdr:rowOff>123825</xdr:rowOff>
    </xdr:to>
    <xdr:graphicFrame macro="">
      <xdr:nvGraphicFramePr>
        <xdr:cNvPr id="4" name="Chart 3">
          <a:extLst>
            <a:ext uri="{FF2B5EF4-FFF2-40B4-BE49-F238E27FC236}">
              <a16:creationId xmlns:a16="http://schemas.microsoft.com/office/drawing/2014/main" id="{E218CCF1-FDCA-4C44-ACF5-857856D749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ntle Rampete" refreshedDate="46288.385540277777" createdVersion="8" refreshedVersion="8" minRefreshableVersion="3" recordCount="33" xr:uid="{598BEB49-599F-4423-A1E2-3F774A8A47DB}">
  <cacheSource type="worksheet">
    <worksheetSource name="team_formation"/>
  </cacheSource>
  <cacheFields count="4">
    <cacheField name="respondent_id" numFmtId="0">
      <sharedItems containsBlank="1" count="11">
        <s v="resp01"/>
        <s v="resp02"/>
        <s v="resp03"/>
        <s v="resp04"/>
        <s v="resp06"/>
        <s v="resp07"/>
        <s v="resp08"/>
        <s v="resp09"/>
        <s v="resp10"/>
        <s v="resp11"/>
        <m u="1"/>
      </sharedItems>
      <fieldGroup par="3"/>
    </cacheField>
    <cacheField name="skill" numFmtId="0">
      <sharedItems containsBlank="1" count="9">
        <s v="Spreadsheets"/>
        <s v="SQL"/>
        <s v="Data Manipulation"/>
        <s v="EDA"/>
        <s v="Python or R"/>
        <s v="BI Tools"/>
        <s v="Project  Management"/>
        <s v="Presentation"/>
        <m u="1"/>
      </sharedItems>
    </cacheField>
    <cacheField name="proficiency" numFmtId="0">
      <sharedItems containsBlank="1" count="4">
        <s v="Intermeiate"/>
        <s v="Yes"/>
        <s v="Beginner"/>
        <m u="1"/>
      </sharedItems>
    </cacheField>
    <cacheField name="respondent_id2" numFmtId="0" databaseField="0">
      <fieldGroup base="0">
        <discretePr count="11">
          <x v="3"/>
          <x v="1"/>
          <x v="3"/>
          <x v="2"/>
          <x v="2"/>
          <x v="3"/>
          <x v="1"/>
          <x v="1"/>
          <x v="1"/>
          <x v="2"/>
          <x v="0"/>
        </discretePr>
        <groupItems count="4">
          <m/>
          <s v="Group1"/>
          <s v="Group2"/>
          <s v="Group3"/>
        </groupItems>
      </fieldGroup>
    </cacheField>
  </cacheFields>
  <extLst>
    <ext xmlns:x14="http://schemas.microsoft.com/office/spreadsheetml/2009/9/main" uri="{725AE2AE-9491-48be-B2B4-4EB974FC3084}">
      <x14:pivotCacheDefinition pivotCacheId="7038383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
  <r>
    <x v="0"/>
    <x v="0"/>
    <x v="0"/>
  </r>
  <r>
    <x v="0"/>
    <x v="1"/>
    <x v="0"/>
  </r>
  <r>
    <x v="0"/>
    <x v="2"/>
    <x v="1"/>
  </r>
  <r>
    <x v="0"/>
    <x v="3"/>
    <x v="1"/>
  </r>
  <r>
    <x v="1"/>
    <x v="0"/>
    <x v="0"/>
  </r>
  <r>
    <x v="1"/>
    <x v="1"/>
    <x v="2"/>
  </r>
  <r>
    <x v="1"/>
    <x v="4"/>
    <x v="2"/>
  </r>
  <r>
    <x v="1"/>
    <x v="5"/>
    <x v="2"/>
  </r>
  <r>
    <x v="1"/>
    <x v="6"/>
    <x v="1"/>
  </r>
  <r>
    <x v="2"/>
    <x v="4"/>
    <x v="2"/>
  </r>
  <r>
    <x v="2"/>
    <x v="7"/>
    <x v="1"/>
  </r>
  <r>
    <x v="3"/>
    <x v="0"/>
    <x v="0"/>
  </r>
  <r>
    <x v="3"/>
    <x v="1"/>
    <x v="0"/>
  </r>
  <r>
    <x v="3"/>
    <x v="4"/>
    <x v="0"/>
  </r>
  <r>
    <x v="3"/>
    <x v="5"/>
    <x v="2"/>
  </r>
  <r>
    <x v="3"/>
    <x v="6"/>
    <x v="1"/>
  </r>
  <r>
    <x v="4"/>
    <x v="0"/>
    <x v="2"/>
  </r>
  <r>
    <x v="4"/>
    <x v="1"/>
    <x v="2"/>
  </r>
  <r>
    <x v="4"/>
    <x v="4"/>
    <x v="2"/>
  </r>
  <r>
    <x v="4"/>
    <x v="5"/>
    <x v="2"/>
  </r>
  <r>
    <x v="4"/>
    <x v="7"/>
    <x v="1"/>
  </r>
  <r>
    <x v="5"/>
    <x v="0"/>
    <x v="0"/>
  </r>
  <r>
    <x v="5"/>
    <x v="1"/>
    <x v="2"/>
  </r>
  <r>
    <x v="5"/>
    <x v="5"/>
    <x v="2"/>
  </r>
  <r>
    <x v="5"/>
    <x v="6"/>
    <x v="1"/>
  </r>
  <r>
    <x v="5"/>
    <x v="7"/>
    <x v="1"/>
  </r>
  <r>
    <x v="6"/>
    <x v="4"/>
    <x v="2"/>
  </r>
  <r>
    <x v="7"/>
    <x v="0"/>
    <x v="2"/>
  </r>
  <r>
    <x v="7"/>
    <x v="7"/>
    <x v="1"/>
  </r>
  <r>
    <x v="8"/>
    <x v="0"/>
    <x v="0"/>
  </r>
  <r>
    <x v="8"/>
    <x v="6"/>
    <x v="1"/>
  </r>
  <r>
    <x v="8"/>
    <x v="7"/>
    <x v="1"/>
  </r>
  <r>
    <x v="9"/>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172161-D051-4234-AB5F-A229AD25839B}"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chartFormat="20">
  <location ref="A3:B11" firstHeaderRow="1" firstDataRow="1" firstDataCol="1" rowPageCount="1" colPageCount="1"/>
  <pivotFields count="4">
    <pivotField compact="0" showAll="0" defaultSubtotal="0">
      <items count="11">
        <item x="0"/>
        <item x="1"/>
        <item x="2"/>
        <item x="3"/>
        <item x="4"/>
        <item x="5"/>
        <item x="6"/>
        <item x="7"/>
        <item x="8"/>
        <item x="9"/>
        <item m="1" x="10"/>
      </items>
    </pivotField>
    <pivotField axis="axisRow" dataField="1" compact="0" showAll="0" sortType="ascending" defaultSubtotal="0">
      <items count="9">
        <item x="5"/>
        <item x="2"/>
        <item x="3"/>
        <item x="7"/>
        <item x="6"/>
        <item x="4"/>
        <item x="0"/>
        <item x="1"/>
        <item h="1" m="1" x="8"/>
      </items>
      <autoSortScope>
        <pivotArea dataOnly="0" outline="0" fieldPosition="0">
          <references count="1">
            <reference field="4294967294" count="1" selected="0">
              <x v="0"/>
            </reference>
          </references>
        </pivotArea>
      </autoSortScope>
    </pivotField>
    <pivotField compact="0" showAll="0" defaultSubtotal="0"/>
    <pivotField name="Team" axis="axisPage" compact="0" multipleItemSelectionAllowed="1" showAll="0" defaultSubtotal="0">
      <items count="4">
        <item n="Team A" x="3"/>
        <item n="Team B" h="1" x="1"/>
        <item n="Team C" h="1" x="2"/>
        <item h="1" x="0"/>
      </items>
    </pivotField>
  </pivotFields>
  <rowFields count="1">
    <field x="1"/>
  </rowFields>
  <rowItems count="8">
    <i>
      <x v="2"/>
    </i>
    <i>
      <x v="5"/>
    </i>
    <i>
      <x/>
    </i>
    <i>
      <x v="1"/>
    </i>
    <i>
      <x v="4"/>
    </i>
    <i>
      <x v="3"/>
    </i>
    <i>
      <x v="6"/>
    </i>
    <i>
      <x v="7"/>
    </i>
  </rowItems>
  <colItems count="1">
    <i/>
  </colItems>
  <pageFields count="1">
    <pageField fld="3" hier="-1"/>
  </pageFields>
  <dataFields count="1">
    <dataField name="Skill Count" fld="1" subtotal="count" baseField="0" baseItem="0"/>
  </dataFields>
  <chartFormats count="4">
    <chartFormat chart="0"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90E806-7906-43CF-958F-C5C81B9573C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5" firstHeaderRow="1" firstDataRow="1" firstDataCol="1" rowPageCount="1" colPageCount="1"/>
  <pivotFields count="4">
    <pivotField showAll="0">
      <items count="12">
        <item x="0"/>
        <item x="1"/>
        <item x="2"/>
        <item x="3"/>
        <item x="4"/>
        <item x="5"/>
        <item x="6"/>
        <item x="7"/>
        <item x="8"/>
        <item x="9"/>
        <item m="1" x="10"/>
        <item t="default"/>
      </items>
    </pivotField>
    <pivotField axis="axisPage" multipleItemSelectionAllowed="1" showAll="0">
      <items count="10">
        <item h="1" x="5"/>
        <item h="1" x="2"/>
        <item x="3"/>
        <item h="1" x="7"/>
        <item h="1" x="6"/>
        <item h="1" x="4"/>
        <item h="1" x="0"/>
        <item h="1" x="1"/>
        <item h="1" m="1" x="8"/>
        <item t="default"/>
      </items>
    </pivotField>
    <pivotField axis="axisRow" dataField="1" showAll="0">
      <items count="5">
        <item x="2"/>
        <item n="Intermediate" x="0"/>
        <item x="1"/>
        <item h="1" m="1" x="3"/>
        <item t="default"/>
      </items>
    </pivotField>
    <pivotField showAll="0" defaultSubtotal="0">
      <items count="4">
        <item h="1" x="0"/>
        <item h="1" x="1"/>
        <item h="1" x="2"/>
        <item x="3"/>
      </items>
    </pivotField>
  </pivotFields>
  <rowFields count="1">
    <field x="2"/>
  </rowFields>
  <rowItems count="2">
    <i>
      <x v="2"/>
    </i>
    <i t="grand">
      <x/>
    </i>
  </rowItems>
  <colItems count="1">
    <i/>
  </colItems>
  <pageFields count="1">
    <pageField fld="1" hier="-1"/>
  </pageFields>
  <dataFields count="1">
    <dataField name="Count of proficiency" fld="2" subtotal="count" baseField="0"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7" format="11" series="1">
      <pivotArea type="data" outline="0" fieldPosition="0">
        <references count="1">
          <reference field="4294967294" count="1" selected="0">
            <x v="0"/>
          </reference>
        </references>
      </pivotArea>
    </chartFormat>
    <chartFormat chart="7" format="12">
      <pivotArea type="data" outline="0" fieldPosition="0">
        <references count="2">
          <reference field="4294967294" count="1" selected="0">
            <x v="0"/>
          </reference>
          <reference field="2" count="1" selected="0">
            <x v="0"/>
          </reference>
        </references>
      </pivotArea>
    </chartFormat>
    <chartFormat chart="7" format="13">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7" format="14">
      <pivotArea type="data" outline="0" fieldPosition="0">
        <references count="2">
          <reference field="4294967294" count="1" selected="0">
            <x v="0"/>
          </reference>
          <reference field="2" count="1" selected="0">
            <x v="2"/>
          </reference>
        </references>
      </pivotArea>
    </chartFormat>
    <chartFormat chart="14" format="17" series="1">
      <pivotArea type="data" outline="0" fieldPosition="0">
        <references count="1">
          <reference field="4294967294" count="1" selected="0">
            <x v="0"/>
          </reference>
        </references>
      </pivotArea>
    </chartFormat>
    <chartFormat chart="14" format="18">
      <pivotArea type="data" outline="0" fieldPosition="0">
        <references count="2">
          <reference field="4294967294" count="1" selected="0">
            <x v="0"/>
          </reference>
          <reference field="2" count="1" selected="0">
            <x v="2"/>
          </reference>
        </references>
      </pivotArea>
    </chartFormat>
    <chartFormat chart="14" format="19">
      <pivotArea type="data" outline="0" fieldPosition="0">
        <references count="2">
          <reference field="4294967294" count="1" selected="0">
            <x v="0"/>
          </reference>
          <reference field="2" count="1" selected="0">
            <x v="0"/>
          </reference>
        </references>
      </pivotArea>
    </chartFormat>
    <chartFormat chart="14" format="20">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E27B3C-C3C8-4361-A793-D46F01C9EB5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location ref="E1:H80" firstHeaderRow="1" firstDataRow="1" firstDataCol="4"/>
  <pivotFields count="4">
    <pivotField axis="axisRow" compact="0" showAll="0" defaultSubtotal="0">
      <items count="11">
        <item x="0"/>
        <item x="1"/>
        <item x="2"/>
        <item x="3"/>
        <item x="4"/>
        <item x="5"/>
        <item x="6"/>
        <item x="7"/>
        <item x="8"/>
        <item x="9"/>
        <item m="1" x="10"/>
      </items>
    </pivotField>
    <pivotField axis="axisRow" compact="0" showAll="0" defaultSubtotal="0">
      <items count="9">
        <item x="5"/>
        <item x="2"/>
        <item x="3"/>
        <item x="7"/>
        <item x="6"/>
        <item x="4"/>
        <item x="0"/>
        <item x="1"/>
        <item m="1" x="8"/>
      </items>
    </pivotField>
    <pivotField axis="axisRow" compact="0" showAll="0" defaultSubtotal="0">
      <items count="4">
        <item x="2"/>
        <item x="0"/>
        <item x="1"/>
        <item m="1" x="3"/>
      </items>
    </pivotField>
    <pivotField axis="axisRow" compact="0" showAll="0" defaultSubtotal="0">
      <items count="4">
        <item h="1" x="0"/>
        <item n="Team B" x="1"/>
        <item n="Team C" x="2"/>
        <item n="Team A" x="3"/>
      </items>
    </pivotField>
  </pivotFields>
  <rowFields count="4">
    <field x="3"/>
    <field x="0"/>
    <field x="1"/>
    <field x="2"/>
  </rowFields>
  <rowItems count="79">
    <i>
      <x v="1"/>
    </i>
    <i r="1">
      <x v="1"/>
    </i>
    <i r="2">
      <x/>
    </i>
    <i r="3">
      <x/>
    </i>
    <i r="2">
      <x v="4"/>
    </i>
    <i r="3">
      <x v="2"/>
    </i>
    <i r="2">
      <x v="5"/>
    </i>
    <i r="3">
      <x/>
    </i>
    <i r="2">
      <x v="6"/>
    </i>
    <i r="3">
      <x v="1"/>
    </i>
    <i r="2">
      <x v="7"/>
    </i>
    <i r="3">
      <x/>
    </i>
    <i r="1">
      <x v="6"/>
    </i>
    <i r="2">
      <x v="5"/>
    </i>
    <i r="3">
      <x/>
    </i>
    <i r="1">
      <x v="7"/>
    </i>
    <i r="2">
      <x v="3"/>
    </i>
    <i r="3">
      <x v="2"/>
    </i>
    <i r="2">
      <x v="6"/>
    </i>
    <i r="3">
      <x/>
    </i>
    <i r="1">
      <x v="8"/>
    </i>
    <i r="2">
      <x v="3"/>
    </i>
    <i r="3">
      <x v="2"/>
    </i>
    <i r="2">
      <x v="4"/>
    </i>
    <i r="3">
      <x v="2"/>
    </i>
    <i r="2">
      <x v="6"/>
    </i>
    <i r="3">
      <x v="1"/>
    </i>
    <i>
      <x v="2"/>
    </i>
    <i r="1">
      <x v="3"/>
    </i>
    <i r="2">
      <x/>
    </i>
    <i r="3">
      <x/>
    </i>
    <i r="2">
      <x v="4"/>
    </i>
    <i r="3">
      <x v="2"/>
    </i>
    <i r="2">
      <x v="5"/>
    </i>
    <i r="3">
      <x v="1"/>
    </i>
    <i r="2">
      <x v="6"/>
    </i>
    <i r="3">
      <x v="1"/>
    </i>
    <i r="2">
      <x v="7"/>
    </i>
    <i r="3">
      <x v="1"/>
    </i>
    <i r="1">
      <x v="4"/>
    </i>
    <i r="2">
      <x/>
    </i>
    <i r="3">
      <x/>
    </i>
    <i r="2">
      <x v="3"/>
    </i>
    <i r="3">
      <x v="2"/>
    </i>
    <i r="2">
      <x v="5"/>
    </i>
    <i r="3">
      <x/>
    </i>
    <i r="2">
      <x v="6"/>
    </i>
    <i r="3">
      <x/>
    </i>
    <i r="2">
      <x v="7"/>
    </i>
    <i r="3">
      <x/>
    </i>
    <i r="1">
      <x v="9"/>
    </i>
    <i r="2">
      <x v="6"/>
    </i>
    <i r="3">
      <x/>
    </i>
    <i>
      <x v="3"/>
    </i>
    <i r="1">
      <x/>
    </i>
    <i r="2">
      <x v="1"/>
    </i>
    <i r="3">
      <x v="2"/>
    </i>
    <i r="2">
      <x v="2"/>
    </i>
    <i r="3">
      <x v="2"/>
    </i>
    <i r="2">
      <x v="6"/>
    </i>
    <i r="3">
      <x v="1"/>
    </i>
    <i r="2">
      <x v="7"/>
    </i>
    <i r="3">
      <x v="1"/>
    </i>
    <i r="1">
      <x v="2"/>
    </i>
    <i r="2">
      <x v="3"/>
    </i>
    <i r="3">
      <x v="2"/>
    </i>
    <i r="2">
      <x v="5"/>
    </i>
    <i r="3">
      <x/>
    </i>
    <i r="1">
      <x v="5"/>
    </i>
    <i r="2">
      <x/>
    </i>
    <i r="3">
      <x/>
    </i>
    <i r="2">
      <x v="3"/>
    </i>
    <i r="3">
      <x v="2"/>
    </i>
    <i r="2">
      <x v="4"/>
    </i>
    <i r="3">
      <x v="2"/>
    </i>
    <i r="2">
      <x v="6"/>
    </i>
    <i r="3">
      <x v="1"/>
    </i>
    <i r="2">
      <x v="7"/>
    </i>
    <i r="3">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205D3703-647B-4D6C-A086-86D9CD0D9BD3}" autoFormatId="16" applyNumberFormats="0" applyBorderFormats="0" applyFontFormats="0" applyPatternFormats="0" applyAlignmentFormats="0" applyWidthHeightFormats="0">
  <queryTableRefresh nextId="5">
    <queryTableFields count="4">
      <queryTableField id="1" name="skill" tableColumnId="1"/>
      <queryTableField id="2" name="proficiency" tableColumnId="2"/>
      <queryTableField id="3" name="Count" tableColumnId="3"/>
      <queryTableField id="4" name="proficiency percentag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4" xr16:uid="{EDF3194E-AC65-4C30-8FA2-2B2502CB95C2}" autoFormatId="16" applyNumberFormats="0" applyBorderFormats="0" applyFontFormats="0" applyPatternFormats="0" applyAlignmentFormats="0" applyWidthHeightFormats="0">
  <queryTableRefresh nextId="4">
    <queryTableFields count="3">
      <queryTableField id="1" name="respondent_id" tableColumnId="1"/>
      <queryTableField id="2" name="skill" tableColumnId="2"/>
      <queryTableField id="3" name="proficiency"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pondent_id2" xr10:uid="{A000AD6A-EE47-41FD-9830-F28F412786F8}" sourceName="respondent_id2">
  <pivotTables>
    <pivotTable tabId="17" name="PivotTable2"/>
    <pivotTable tabId="18" name="PivotTable3"/>
  </pivotTables>
  <data>
    <tabular pivotCacheId="703838339">
      <items count="4">
        <i x="3" s="1"/>
        <i x="1"/>
        <i x="2"/>
        <i x="0"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ill" xr10:uid="{F72274FA-D8F2-4527-BB67-E391DBE694D1}" sourceName="skill">
  <pivotTables>
    <pivotTable tabId="18" name="PivotTable3"/>
  </pivotTables>
  <data>
    <tabular pivotCacheId="703838339">
      <items count="9">
        <i x="5"/>
        <i x="2"/>
        <i x="3" s="1"/>
        <i x="7"/>
        <i x="6"/>
        <i x="4"/>
        <i x="0"/>
        <i x="1"/>
        <i x="8"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B42EB39D-8C11-40D3-B57F-3A004609A40B}" cache="Slicer_respondent_id2" caption="Team" columnCount="3" showCaption="0"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1" xr10:uid="{47166E12-EE26-41FB-A537-43AB93188D14}" cache="Slicer_respondent_id2" caption="Team" columnCount="3" showCaption="0" style="SlicerStyleLight1 2" rowHeight="360000"/>
  <slicer name="skill" xr10:uid="{A4F42217-77C5-4FAA-8396-2B8A8724208C}" cache="Slicer_skill" caption="skill" showCaption="0" style="SlicerStyleLight1 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2" xr10:uid="{21E9A1C1-7983-4E14-9DDF-CFB78B342FD5}" cache="Slicer_respondent_id2" caption="Team" columnCount="3" showCaption="0" style="SlicerStyleLight1 2" rowHeight="216000"/>
  <slicer name="skill 1" xr10:uid="{9D48AC76-239F-4B9B-AB3C-18EAF757B934}" cache="Slicer_skill" caption="skill" showCaption="0" style="SlicerStyleLight1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6F0BB7-D8F1-4348-95D8-160E64A8DF5B}" name="skill_distribution" displayName="skill_distribution" ref="A1:D21" tableType="queryTable" totalsRowShown="0" headerRowDxfId="2">
  <autoFilter ref="A1:D21" xr:uid="{D56F0BB7-D8F1-4348-95D8-160E64A8DF5B}"/>
  <tableColumns count="4">
    <tableColumn id="1" xr3:uid="{1371AA94-1454-44F1-A104-322A09836E6E}" uniqueName="1" name="skill" queryTableFieldId="1"/>
    <tableColumn id="2" xr3:uid="{75889F93-58FD-419F-BB9D-94093DF555DE}" uniqueName="2" name="proficiency" queryTableFieldId="2" dataDxfId="1"/>
    <tableColumn id="3" xr3:uid="{120898D5-AAAC-42A9-A46C-D8E501C78897}" uniqueName="3" name="Count" queryTableFieldId="3"/>
    <tableColumn id="4" xr3:uid="{64A04B90-7290-43AE-83F5-8196E6BF82DE}" uniqueName="4" name="proficiency percentage" queryTableFieldId="4" dataDxfId="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E7623A-B9F0-442E-BC4E-F4DB1B71BB93}" name="team_formation" displayName="team_formation" ref="A1:C34" tableType="queryTable" totalsRowShown="0">
  <autoFilter ref="A1:C34" xr:uid="{D0E7623A-B9F0-442E-BC4E-F4DB1B71BB93}"/>
  <tableColumns count="3">
    <tableColumn id="1" xr3:uid="{A7C9B845-0949-4BB2-8E2D-6D17D2C93F2B}" uniqueName="1" name="respondent_id" queryTableFieldId="1"/>
    <tableColumn id="2" xr3:uid="{B649C58C-F35E-44AD-BB2B-695CB41A905F}" uniqueName="2" name="skill" queryTableFieldId="2"/>
    <tableColumn id="3" xr3:uid="{2D7CBCEE-A9AC-44C7-8FB1-91994F89C6F1}" uniqueName="3" name="proficiency"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1FE47-1849-4AF0-BD68-494BF04D3E91}">
  <dimension ref="A1:H21"/>
  <sheetViews>
    <sheetView workbookViewId="0">
      <selection activeCell="H6" sqref="H6"/>
    </sheetView>
  </sheetViews>
  <sheetFormatPr defaultRowHeight="15" x14ac:dyDescent="0.25"/>
  <cols>
    <col min="1" max="1" width="20.140625" bestFit="1" customWidth="1"/>
    <col min="2" max="2" width="13.140625" bestFit="1" customWidth="1"/>
    <col min="3" max="3" width="8.5703125" bestFit="1" customWidth="1"/>
    <col min="4" max="4" width="24" style="5" bestFit="1" customWidth="1"/>
  </cols>
  <sheetData>
    <row r="1" spans="1:8" x14ac:dyDescent="0.25">
      <c r="A1" s="1" t="s">
        <v>0</v>
      </c>
      <c r="B1" s="1" t="s">
        <v>1</v>
      </c>
      <c r="C1" s="1" t="s">
        <v>2</v>
      </c>
      <c r="D1" s="4" t="s">
        <v>3</v>
      </c>
    </row>
    <row r="2" spans="1:8" x14ac:dyDescent="0.25">
      <c r="A2" t="s">
        <v>4</v>
      </c>
      <c r="B2" t="s">
        <v>5</v>
      </c>
      <c r="C2">
        <v>6</v>
      </c>
      <c r="D2" s="5">
        <v>0.6</v>
      </c>
    </row>
    <row r="3" spans="1:8" x14ac:dyDescent="0.25">
      <c r="A3" t="s">
        <v>4</v>
      </c>
      <c r="B3" t="s">
        <v>6</v>
      </c>
      <c r="C3">
        <v>4</v>
      </c>
      <c r="D3" s="5">
        <v>0.4</v>
      </c>
    </row>
    <row r="4" spans="1:8" x14ac:dyDescent="0.25">
      <c r="A4" t="s">
        <v>7</v>
      </c>
      <c r="B4" t="s">
        <v>8</v>
      </c>
      <c r="C4">
        <v>1</v>
      </c>
      <c r="D4" s="5">
        <v>0.1</v>
      </c>
    </row>
    <row r="5" spans="1:8" x14ac:dyDescent="0.25">
      <c r="A5" t="s">
        <v>7</v>
      </c>
      <c r="B5" t="s">
        <v>5</v>
      </c>
      <c r="C5">
        <v>9</v>
      </c>
      <c r="D5" s="5">
        <v>0.9</v>
      </c>
    </row>
    <row r="6" spans="1:8" x14ac:dyDescent="0.25">
      <c r="A6" t="s">
        <v>9</v>
      </c>
      <c r="B6" t="s">
        <v>5</v>
      </c>
      <c r="C6">
        <v>10</v>
      </c>
      <c r="D6" s="5">
        <v>1</v>
      </c>
      <c r="H6" s="5" cm="1">
        <f t="array" ref="H6">_xlfn.IFS(
     skill="BI Tools",
         _xlfn.SWITCH(proficiency,"Beginner",D3,"Intermediate",0,"None",D2,"Yes",0.4),
     skill="Data Manipulation",
         _xlfn.SWITCH(proficiency,"None",D5,"Yes",D4),
      skill="EDA",
         _xlfn.SWITCH(proficiency,"None",D8,"Yes",D7),
      skill="Presentation",
         _xlfn.SWITCH(proficiency,"None",D9,"Yes",D10),
      skill="Project Management",
         _xlfn.SWITCH(proficiency,"None",D12,"Yes",D11),
           skill="Python or R",
         _xlfn.SWITCH(proficiency,"Beginner",D15,"Intermediate",D14,"None",D13,"Yes",0.5),
      skill="SQL",
         _xlfn.SWITCH(proficiency,"Beginner",D16,"Intermediate",D17,"None",D18,"Yes",0.5),
      skill="Spreadsheets",
         _xlfn.SWITCH(proficiency,"Beginner",D21,"Intermediate",D19,"None",D20,"Yes",0.8)
)</f>
        <v>0.5</v>
      </c>
    </row>
    <row r="7" spans="1:8" x14ac:dyDescent="0.25">
      <c r="A7" t="s">
        <v>10</v>
      </c>
      <c r="B7" t="s">
        <v>8</v>
      </c>
      <c r="C7">
        <v>1</v>
      </c>
      <c r="D7" s="5">
        <v>0.1</v>
      </c>
    </row>
    <row r="8" spans="1:8" x14ac:dyDescent="0.25">
      <c r="A8" t="s">
        <v>10</v>
      </c>
      <c r="B8" t="s">
        <v>5</v>
      </c>
      <c r="C8">
        <v>9</v>
      </c>
      <c r="D8" s="5">
        <v>0.9</v>
      </c>
    </row>
    <row r="9" spans="1:8" x14ac:dyDescent="0.25">
      <c r="A9" t="s">
        <v>11</v>
      </c>
      <c r="B9" t="s">
        <v>5</v>
      </c>
      <c r="C9">
        <v>5</v>
      </c>
      <c r="D9" s="5">
        <v>0.5</v>
      </c>
      <c r="H9" t="str">
        <f>IF(
     (OR(skill="BI Tools", skill="Python or R", skill="SQL", skill="Spreadsheets"))*
     (OR(proficiency="Beginner", proficiency="Intermediate")),
     CONCATENATE((proficiency_cal*100),"%"," ","of"," ","respondents"," ","have"," ",skill," ","skills"," ","at"," ",proficiency," ","proficiency"),
        IF(
            (OR(skill="BI Tools", skill="Python or R", skill="SQL", skill="Spreadsheets", skill="Data Manipulation", skill="EDA", skill="Presentation", skill="Project Management"))*(proficiency="Yes"),
          CONCATENATE((proficiency_cal*100),"%"," ","of"," ","respondents"," ","have"," ",skill," ","skills"),
          CONCATENATE((proficiency_cal*100),"%"," ","of"," ","respondents"," ","do"," ","not"," ","have"," ",skill," ","skills")
          )
)</f>
        <v>50% of respondents have Spreadsheets skills at Intermediate proficiency</v>
      </c>
    </row>
    <row r="10" spans="1:8" x14ac:dyDescent="0.25">
      <c r="A10" t="s">
        <v>11</v>
      </c>
      <c r="B10" t="s">
        <v>8</v>
      </c>
      <c r="C10">
        <v>5</v>
      </c>
      <c r="D10" s="5">
        <v>0.5</v>
      </c>
    </row>
    <row r="11" spans="1:8" x14ac:dyDescent="0.25">
      <c r="A11" t="s">
        <v>12</v>
      </c>
      <c r="B11" t="s">
        <v>8</v>
      </c>
      <c r="C11">
        <v>4</v>
      </c>
      <c r="D11" s="5">
        <v>0.4</v>
      </c>
    </row>
    <row r="12" spans="1:8" x14ac:dyDescent="0.25">
      <c r="A12" t="s">
        <v>12</v>
      </c>
      <c r="B12" t="s">
        <v>5</v>
      </c>
      <c r="C12">
        <v>6</v>
      </c>
      <c r="D12" s="5">
        <v>0.6</v>
      </c>
    </row>
    <row r="13" spans="1:8" x14ac:dyDescent="0.25">
      <c r="A13" t="s">
        <v>13</v>
      </c>
      <c r="B13" t="s">
        <v>5</v>
      </c>
      <c r="C13">
        <v>5</v>
      </c>
      <c r="D13" s="5">
        <v>0.5</v>
      </c>
    </row>
    <row r="14" spans="1:8" x14ac:dyDescent="0.25">
      <c r="A14" t="s">
        <v>13</v>
      </c>
      <c r="B14" t="s">
        <v>14</v>
      </c>
      <c r="C14">
        <v>1</v>
      </c>
      <c r="D14" s="5">
        <v>0.1</v>
      </c>
    </row>
    <row r="15" spans="1:8" x14ac:dyDescent="0.25">
      <c r="A15" t="s">
        <v>13</v>
      </c>
      <c r="B15" t="s">
        <v>6</v>
      </c>
      <c r="C15">
        <v>4</v>
      </c>
      <c r="D15" s="5">
        <v>0.4</v>
      </c>
    </row>
    <row r="16" spans="1:8" x14ac:dyDescent="0.25">
      <c r="A16" t="s">
        <v>15</v>
      </c>
      <c r="B16" t="s">
        <v>6</v>
      </c>
      <c r="C16">
        <v>3</v>
      </c>
      <c r="D16" s="5">
        <v>0.3</v>
      </c>
    </row>
    <row r="17" spans="1:4" x14ac:dyDescent="0.25">
      <c r="A17" t="s">
        <v>15</v>
      </c>
      <c r="B17" t="s">
        <v>14</v>
      </c>
      <c r="C17">
        <v>2</v>
      </c>
      <c r="D17" s="5">
        <v>0.2</v>
      </c>
    </row>
    <row r="18" spans="1:4" x14ac:dyDescent="0.25">
      <c r="A18" t="s">
        <v>15</v>
      </c>
      <c r="B18" t="s">
        <v>5</v>
      </c>
      <c r="C18">
        <v>5</v>
      </c>
      <c r="D18" s="5">
        <v>0.5</v>
      </c>
    </row>
    <row r="19" spans="1:4" x14ac:dyDescent="0.25">
      <c r="A19" t="s">
        <v>16</v>
      </c>
      <c r="B19" t="s">
        <v>14</v>
      </c>
      <c r="C19">
        <v>5</v>
      </c>
      <c r="D19" s="5">
        <v>0.5</v>
      </c>
    </row>
    <row r="20" spans="1:4" x14ac:dyDescent="0.25">
      <c r="A20" t="s">
        <v>16</v>
      </c>
      <c r="B20" t="s">
        <v>5</v>
      </c>
      <c r="C20">
        <v>2</v>
      </c>
      <c r="D20" s="5">
        <v>0.2</v>
      </c>
    </row>
    <row r="21" spans="1:4" x14ac:dyDescent="0.25">
      <c r="A21" t="s">
        <v>16</v>
      </c>
      <c r="B21" t="s">
        <v>6</v>
      </c>
      <c r="C21">
        <v>3</v>
      </c>
      <c r="D21" s="5">
        <v>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3DBCA-D1A9-4E04-90D0-D4963AA3220F}">
  <dimension ref="A1:C34"/>
  <sheetViews>
    <sheetView topLeftCell="A13" workbookViewId="0">
      <selection activeCell="B40" sqref="B40"/>
    </sheetView>
  </sheetViews>
  <sheetFormatPr defaultRowHeight="15" x14ac:dyDescent="0.25"/>
  <cols>
    <col min="1" max="1" width="16.42578125" bestFit="1" customWidth="1"/>
    <col min="2" max="2" width="20.140625" bestFit="1" customWidth="1"/>
    <col min="3" max="3" width="13.140625" bestFit="1" customWidth="1"/>
  </cols>
  <sheetData>
    <row r="1" spans="1:3" x14ac:dyDescent="0.25">
      <c r="A1" t="s">
        <v>17</v>
      </c>
      <c r="B1" t="s">
        <v>0</v>
      </c>
      <c r="C1" t="s">
        <v>1</v>
      </c>
    </row>
    <row r="2" spans="1:3" x14ac:dyDescent="0.25">
      <c r="A2" t="s">
        <v>18</v>
      </c>
      <c r="B2" t="s">
        <v>16</v>
      </c>
      <c r="C2" t="s">
        <v>14</v>
      </c>
    </row>
    <row r="3" spans="1:3" x14ac:dyDescent="0.25">
      <c r="A3" t="s">
        <v>18</v>
      </c>
      <c r="B3" t="s">
        <v>15</v>
      </c>
      <c r="C3" t="s">
        <v>14</v>
      </c>
    </row>
    <row r="4" spans="1:3" x14ac:dyDescent="0.25">
      <c r="A4" t="s">
        <v>18</v>
      </c>
      <c r="B4" t="s">
        <v>7</v>
      </c>
      <c r="C4" t="s">
        <v>8</v>
      </c>
    </row>
    <row r="5" spans="1:3" x14ac:dyDescent="0.25">
      <c r="A5" t="s">
        <v>18</v>
      </c>
      <c r="B5" t="s">
        <v>10</v>
      </c>
      <c r="C5" t="s">
        <v>8</v>
      </c>
    </row>
    <row r="6" spans="1:3" x14ac:dyDescent="0.25">
      <c r="A6" t="s">
        <v>19</v>
      </c>
      <c r="B6" t="s">
        <v>16</v>
      </c>
      <c r="C6" t="s">
        <v>14</v>
      </c>
    </row>
    <row r="7" spans="1:3" x14ac:dyDescent="0.25">
      <c r="A7" t="s">
        <v>19</v>
      </c>
      <c r="B7" t="s">
        <v>15</v>
      </c>
      <c r="C7" t="s">
        <v>6</v>
      </c>
    </row>
    <row r="8" spans="1:3" x14ac:dyDescent="0.25">
      <c r="A8" t="s">
        <v>19</v>
      </c>
      <c r="B8" t="s">
        <v>13</v>
      </c>
      <c r="C8" t="s">
        <v>6</v>
      </c>
    </row>
    <row r="9" spans="1:3" x14ac:dyDescent="0.25">
      <c r="A9" t="s">
        <v>19</v>
      </c>
      <c r="B9" t="s">
        <v>4</v>
      </c>
      <c r="C9" t="s">
        <v>6</v>
      </c>
    </row>
    <row r="10" spans="1:3" x14ac:dyDescent="0.25">
      <c r="A10" t="s">
        <v>19</v>
      </c>
      <c r="B10" t="s">
        <v>12</v>
      </c>
      <c r="C10" t="s">
        <v>8</v>
      </c>
    </row>
    <row r="11" spans="1:3" x14ac:dyDescent="0.25">
      <c r="A11" t="s">
        <v>20</v>
      </c>
      <c r="B11" t="s">
        <v>13</v>
      </c>
      <c r="C11" t="s">
        <v>6</v>
      </c>
    </row>
    <row r="12" spans="1:3" x14ac:dyDescent="0.25">
      <c r="A12" t="s">
        <v>20</v>
      </c>
      <c r="B12" t="s">
        <v>11</v>
      </c>
      <c r="C12" t="s">
        <v>8</v>
      </c>
    </row>
    <row r="13" spans="1:3" x14ac:dyDescent="0.25">
      <c r="A13" t="s">
        <v>21</v>
      </c>
      <c r="B13" t="s">
        <v>16</v>
      </c>
      <c r="C13" t="s">
        <v>14</v>
      </c>
    </row>
    <row r="14" spans="1:3" x14ac:dyDescent="0.25">
      <c r="A14" t="s">
        <v>21</v>
      </c>
      <c r="B14" t="s">
        <v>15</v>
      </c>
      <c r="C14" t="s">
        <v>14</v>
      </c>
    </row>
    <row r="15" spans="1:3" x14ac:dyDescent="0.25">
      <c r="A15" t="s">
        <v>21</v>
      </c>
      <c r="B15" t="s">
        <v>13</v>
      </c>
      <c r="C15" t="s">
        <v>14</v>
      </c>
    </row>
    <row r="16" spans="1:3" x14ac:dyDescent="0.25">
      <c r="A16" t="s">
        <v>21</v>
      </c>
      <c r="B16" t="s">
        <v>4</v>
      </c>
      <c r="C16" t="s">
        <v>6</v>
      </c>
    </row>
    <row r="17" spans="1:3" x14ac:dyDescent="0.25">
      <c r="A17" t="s">
        <v>21</v>
      </c>
      <c r="B17" t="s">
        <v>12</v>
      </c>
      <c r="C17" t="s">
        <v>8</v>
      </c>
    </row>
    <row r="18" spans="1:3" x14ac:dyDescent="0.25">
      <c r="A18" t="s">
        <v>22</v>
      </c>
      <c r="B18" t="s">
        <v>16</v>
      </c>
      <c r="C18" t="s">
        <v>6</v>
      </c>
    </row>
    <row r="19" spans="1:3" x14ac:dyDescent="0.25">
      <c r="A19" t="s">
        <v>22</v>
      </c>
      <c r="B19" t="s">
        <v>15</v>
      </c>
      <c r="C19" t="s">
        <v>6</v>
      </c>
    </row>
    <row r="20" spans="1:3" x14ac:dyDescent="0.25">
      <c r="A20" t="s">
        <v>22</v>
      </c>
      <c r="B20" t="s">
        <v>13</v>
      </c>
      <c r="C20" t="s">
        <v>6</v>
      </c>
    </row>
    <row r="21" spans="1:3" x14ac:dyDescent="0.25">
      <c r="A21" t="s">
        <v>22</v>
      </c>
      <c r="B21" t="s">
        <v>4</v>
      </c>
      <c r="C21" t="s">
        <v>6</v>
      </c>
    </row>
    <row r="22" spans="1:3" x14ac:dyDescent="0.25">
      <c r="A22" t="s">
        <v>22</v>
      </c>
      <c r="B22" t="s">
        <v>11</v>
      </c>
      <c r="C22" t="s">
        <v>8</v>
      </c>
    </row>
    <row r="23" spans="1:3" x14ac:dyDescent="0.25">
      <c r="A23" t="s">
        <v>23</v>
      </c>
      <c r="B23" t="s">
        <v>16</v>
      </c>
      <c r="C23" t="s">
        <v>14</v>
      </c>
    </row>
    <row r="24" spans="1:3" x14ac:dyDescent="0.25">
      <c r="A24" t="s">
        <v>23</v>
      </c>
      <c r="B24" t="s">
        <v>15</v>
      </c>
      <c r="C24" t="s">
        <v>6</v>
      </c>
    </row>
    <row r="25" spans="1:3" x14ac:dyDescent="0.25">
      <c r="A25" t="s">
        <v>23</v>
      </c>
      <c r="B25" t="s">
        <v>4</v>
      </c>
      <c r="C25" t="s">
        <v>6</v>
      </c>
    </row>
    <row r="26" spans="1:3" x14ac:dyDescent="0.25">
      <c r="A26" t="s">
        <v>23</v>
      </c>
      <c r="B26" t="s">
        <v>12</v>
      </c>
      <c r="C26" t="s">
        <v>8</v>
      </c>
    </row>
    <row r="27" spans="1:3" x14ac:dyDescent="0.25">
      <c r="A27" t="s">
        <v>23</v>
      </c>
      <c r="B27" t="s">
        <v>11</v>
      </c>
      <c r="C27" t="s">
        <v>8</v>
      </c>
    </row>
    <row r="28" spans="1:3" x14ac:dyDescent="0.25">
      <c r="A28" t="s">
        <v>24</v>
      </c>
      <c r="B28" t="s">
        <v>13</v>
      </c>
      <c r="C28" t="s">
        <v>6</v>
      </c>
    </row>
    <row r="29" spans="1:3" x14ac:dyDescent="0.25">
      <c r="A29" t="s">
        <v>25</v>
      </c>
      <c r="B29" t="s">
        <v>16</v>
      </c>
      <c r="C29" t="s">
        <v>6</v>
      </c>
    </row>
    <row r="30" spans="1:3" x14ac:dyDescent="0.25">
      <c r="A30" t="s">
        <v>25</v>
      </c>
      <c r="B30" t="s">
        <v>11</v>
      </c>
      <c r="C30" t="s">
        <v>8</v>
      </c>
    </row>
    <row r="31" spans="1:3" x14ac:dyDescent="0.25">
      <c r="A31" t="s">
        <v>26</v>
      </c>
      <c r="B31" t="s">
        <v>16</v>
      </c>
      <c r="C31" t="s">
        <v>14</v>
      </c>
    </row>
    <row r="32" spans="1:3" x14ac:dyDescent="0.25">
      <c r="A32" t="s">
        <v>26</v>
      </c>
      <c r="B32" t="s">
        <v>12</v>
      </c>
      <c r="C32" t="s">
        <v>8</v>
      </c>
    </row>
    <row r="33" spans="1:3" x14ac:dyDescent="0.25">
      <c r="A33" t="s">
        <v>26</v>
      </c>
      <c r="B33" t="s">
        <v>11</v>
      </c>
      <c r="C33" t="s">
        <v>8</v>
      </c>
    </row>
    <row r="34" spans="1:3" x14ac:dyDescent="0.25">
      <c r="A34" t="s">
        <v>27</v>
      </c>
      <c r="B34" t="s">
        <v>16</v>
      </c>
      <c r="C34" t="s">
        <v>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57A45-F29A-46D9-8D0B-4CE779D9BBB1}">
  <dimension ref="A1:F15"/>
  <sheetViews>
    <sheetView workbookViewId="0">
      <selection activeCell="A2" sqref="A2:A9"/>
    </sheetView>
  </sheetViews>
  <sheetFormatPr defaultRowHeight="15" x14ac:dyDescent="0.25"/>
  <cols>
    <col min="1" max="1" width="19.7109375" customWidth="1"/>
    <col min="2" max="2" width="14.28515625" bestFit="1" customWidth="1"/>
    <col min="3" max="3" width="20" bestFit="1" customWidth="1"/>
    <col min="6" max="6" width="16.140625" bestFit="1" customWidth="1"/>
  </cols>
  <sheetData>
    <row r="1" spans="1:6" x14ac:dyDescent="0.25">
      <c r="A1" s="1" t="s">
        <v>28</v>
      </c>
      <c r="C1" s="1" t="s">
        <v>29</v>
      </c>
      <c r="F1" s="1" t="s">
        <v>30</v>
      </c>
    </row>
    <row r="2" spans="1:6" x14ac:dyDescent="0.25">
      <c r="A2" s="3" t="s">
        <v>7</v>
      </c>
      <c r="C2" t="s">
        <v>6</v>
      </c>
      <c r="F2" t="s">
        <v>8</v>
      </c>
    </row>
    <row r="3" spans="1:6" x14ac:dyDescent="0.25">
      <c r="A3" s="3" t="s">
        <v>10</v>
      </c>
      <c r="C3" t="s">
        <v>31</v>
      </c>
      <c r="F3" t="s">
        <v>5</v>
      </c>
    </row>
    <row r="4" spans="1:6" x14ac:dyDescent="0.25">
      <c r="A4" s="3" t="s">
        <v>32</v>
      </c>
      <c r="C4" t="s">
        <v>5</v>
      </c>
    </row>
    <row r="5" spans="1:6" x14ac:dyDescent="0.25">
      <c r="A5" s="3" t="s">
        <v>4</v>
      </c>
      <c r="C5" t="s">
        <v>8</v>
      </c>
    </row>
    <row r="6" spans="1:6" x14ac:dyDescent="0.25">
      <c r="A6" s="3" t="s">
        <v>11</v>
      </c>
    </row>
    <row r="7" spans="1:6" x14ac:dyDescent="0.25">
      <c r="A7" s="3" t="s">
        <v>15</v>
      </c>
    </row>
    <row r="8" spans="1:6" x14ac:dyDescent="0.25">
      <c r="A8" s="3" t="s">
        <v>13</v>
      </c>
    </row>
    <row r="9" spans="1:6" x14ac:dyDescent="0.25">
      <c r="A9" s="3" t="s">
        <v>16</v>
      </c>
    </row>
    <row r="11" spans="1:6" x14ac:dyDescent="0.25">
      <c r="A11" s="11" t="s">
        <v>33</v>
      </c>
      <c r="B11" s="1" t="s">
        <v>34</v>
      </c>
      <c r="C11" s="1" t="s">
        <v>35</v>
      </c>
    </row>
    <row r="12" spans="1:6" x14ac:dyDescent="0.25">
      <c r="A12" s="3" t="s">
        <v>36</v>
      </c>
      <c r="B12" t="s">
        <v>37</v>
      </c>
      <c r="C12" t="s">
        <v>38</v>
      </c>
    </row>
    <row r="13" spans="1:6" x14ac:dyDescent="0.25">
      <c r="A13" s="3" t="s">
        <v>39</v>
      </c>
      <c r="B13" t="s">
        <v>40</v>
      </c>
      <c r="C13" t="s">
        <v>41</v>
      </c>
    </row>
    <row r="14" spans="1:6" x14ac:dyDescent="0.25">
      <c r="A14" s="3" t="s">
        <v>42</v>
      </c>
      <c r="B14" t="s">
        <v>72</v>
      </c>
      <c r="C14" t="s">
        <v>43</v>
      </c>
    </row>
    <row r="15" spans="1:6" x14ac:dyDescent="0.25">
      <c r="B15" t="s">
        <v>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7E5AC-B6BB-4A40-84CB-CAA5A810EE1F}">
  <dimension ref="A1:B11"/>
  <sheetViews>
    <sheetView zoomScale="110" zoomScaleNormal="110" workbookViewId="0">
      <selection activeCell="B3" sqref="B3"/>
    </sheetView>
  </sheetViews>
  <sheetFormatPr defaultRowHeight="15" x14ac:dyDescent="0.25"/>
  <cols>
    <col min="1" max="1" width="20.140625" bestFit="1" customWidth="1"/>
    <col min="2" max="2" width="10.42578125" bestFit="1" customWidth="1"/>
    <col min="3" max="3" width="14.7109375" bestFit="1" customWidth="1"/>
    <col min="4" max="4" width="18.5703125" bestFit="1" customWidth="1"/>
  </cols>
  <sheetData>
    <row r="1" spans="1:2" x14ac:dyDescent="0.25">
      <c r="A1" s="2" t="s">
        <v>45</v>
      </c>
      <c r="B1" t="s">
        <v>33</v>
      </c>
    </row>
    <row r="3" spans="1:2" x14ac:dyDescent="0.25">
      <c r="A3" s="2" t="s">
        <v>0</v>
      </c>
      <c r="B3" t="s">
        <v>46</v>
      </c>
    </row>
    <row r="4" spans="1:2" x14ac:dyDescent="0.25">
      <c r="A4" t="s">
        <v>10</v>
      </c>
      <c r="B4">
        <v>1</v>
      </c>
    </row>
    <row r="5" spans="1:2" x14ac:dyDescent="0.25">
      <c r="A5" t="s">
        <v>13</v>
      </c>
      <c r="B5">
        <v>1</v>
      </c>
    </row>
    <row r="6" spans="1:2" x14ac:dyDescent="0.25">
      <c r="A6" t="s">
        <v>4</v>
      </c>
      <c r="B6">
        <v>1</v>
      </c>
    </row>
    <row r="7" spans="1:2" x14ac:dyDescent="0.25">
      <c r="A7" t="s">
        <v>7</v>
      </c>
      <c r="B7">
        <v>1</v>
      </c>
    </row>
    <row r="8" spans="1:2" x14ac:dyDescent="0.25">
      <c r="A8" t="s">
        <v>12</v>
      </c>
      <c r="B8">
        <v>1</v>
      </c>
    </row>
    <row r="9" spans="1:2" x14ac:dyDescent="0.25">
      <c r="A9" t="s">
        <v>11</v>
      </c>
      <c r="B9">
        <v>2</v>
      </c>
    </row>
    <row r="10" spans="1:2" x14ac:dyDescent="0.25">
      <c r="A10" t="s">
        <v>16</v>
      </c>
      <c r="B10">
        <v>2</v>
      </c>
    </row>
    <row r="11" spans="1:2" x14ac:dyDescent="0.25">
      <c r="A11" t="s">
        <v>15</v>
      </c>
      <c r="B11">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FA3FF-DEC7-4A57-9326-D3DEFCE869E1}">
  <dimension ref="A1:B5"/>
  <sheetViews>
    <sheetView workbookViewId="0">
      <selection activeCell="A6" sqref="A6"/>
    </sheetView>
  </sheetViews>
  <sheetFormatPr defaultRowHeight="15" x14ac:dyDescent="0.25"/>
  <cols>
    <col min="1" max="1" width="13.140625" bestFit="1" customWidth="1"/>
    <col min="2" max="2" width="19.140625" bestFit="1" customWidth="1"/>
  </cols>
  <sheetData>
    <row r="1" spans="1:2" x14ac:dyDescent="0.25">
      <c r="A1" s="2" t="s">
        <v>0</v>
      </c>
      <c r="B1" t="s">
        <v>10</v>
      </c>
    </row>
    <row r="3" spans="1:2" x14ac:dyDescent="0.25">
      <c r="A3" s="2" t="s">
        <v>47</v>
      </c>
      <c r="B3" t="s">
        <v>48</v>
      </c>
    </row>
    <row r="4" spans="1:2" x14ac:dyDescent="0.25">
      <c r="A4" s="3" t="s">
        <v>8</v>
      </c>
      <c r="B4" s="44">
        <v>1</v>
      </c>
    </row>
    <row r="5" spans="1:2" x14ac:dyDescent="0.25">
      <c r="A5" s="3" t="s">
        <v>49</v>
      </c>
      <c r="B5" s="44">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5D473-F301-440D-A563-3171C09D6F11}">
  <dimension ref="A1:H80"/>
  <sheetViews>
    <sheetView zoomScaleNormal="100" workbookViewId="0">
      <selection activeCell="B7" sqref="B7"/>
    </sheetView>
  </sheetViews>
  <sheetFormatPr defaultRowHeight="15" x14ac:dyDescent="0.25"/>
  <cols>
    <col min="1" max="1" width="22.7109375" bestFit="1" customWidth="1"/>
    <col min="2" max="2" width="34.42578125" bestFit="1" customWidth="1"/>
    <col min="5" max="5" width="25.85546875" bestFit="1" customWidth="1"/>
    <col min="6" max="6" width="12.5703125" bestFit="1" customWidth="1"/>
    <col min="7" max="7" width="22" bestFit="1" customWidth="1"/>
    <col min="8" max="8" width="13.140625" bestFit="1" customWidth="1"/>
    <col min="9" max="9" width="12.5703125" bestFit="1" customWidth="1"/>
  </cols>
  <sheetData>
    <row r="1" spans="1:8" x14ac:dyDescent="0.25">
      <c r="A1" t="s">
        <v>50</v>
      </c>
      <c r="B1" cm="1">
        <f t="array" ref="B1">_xlfn.IFS(teams="Team A",3,teams="Team B",4,teams="Team C",3)</f>
        <v>3</v>
      </c>
      <c r="E1" s="2" t="s">
        <v>51</v>
      </c>
      <c r="F1" s="2" t="s">
        <v>17</v>
      </c>
      <c r="G1" s="2" t="s">
        <v>0</v>
      </c>
      <c r="H1" s="2" t="s">
        <v>1</v>
      </c>
    </row>
    <row r="2" spans="1:8" x14ac:dyDescent="0.25">
      <c r="A2" t="s">
        <v>52</v>
      </c>
      <c r="B2">
        <f>5-total_members</f>
        <v>2</v>
      </c>
      <c r="E2" t="s">
        <v>34</v>
      </c>
    </row>
    <row r="3" spans="1:8" x14ac:dyDescent="0.25">
      <c r="A3" t="s">
        <v>53</v>
      </c>
      <c r="B3">
        <f>IF(teams="Team A",8,6)</f>
        <v>8</v>
      </c>
      <c r="F3" t="s">
        <v>19</v>
      </c>
    </row>
    <row r="4" spans="1:8" x14ac:dyDescent="0.25">
      <c r="G4" t="s">
        <v>4</v>
      </c>
    </row>
    <row r="5" spans="1:8" x14ac:dyDescent="0.25">
      <c r="A5" t="s">
        <v>54</v>
      </c>
      <c r="B5" s="13" cm="1">
        <f t="array" ref="B5">_xlfn.IFS(
      teams="Team A",
        AVERAGE(4,2,5),
      teams="Team B",
        AVERAGE(5,1,2,3),
      teams="Team C",
        AVERAGE(5,5,1)
)</f>
        <v>3.6666666666666665</v>
      </c>
      <c r="H5" t="s">
        <v>6</v>
      </c>
    </row>
    <row r="6" spans="1:8" x14ac:dyDescent="0.25">
      <c r="A6" t="s">
        <v>55</v>
      </c>
      <c r="B6" t="str" cm="1">
        <f t="array" ref="B6">_xlfn.IFS(
      teams="Team A",
        "Spreadsheets &amp; Presentation",
      teams="Team B",
        "Spreadsheets",
      teams="Team C",
        "Spreadsheets"
)</f>
        <v>Spreadsheets &amp; Presentation</v>
      </c>
      <c r="G6" t="s">
        <v>12</v>
      </c>
    </row>
    <row r="7" spans="1:8" x14ac:dyDescent="0.25">
      <c r="H7" t="s">
        <v>8</v>
      </c>
    </row>
    <row r="8" spans="1:8" x14ac:dyDescent="0.25">
      <c r="G8" t="s">
        <v>13</v>
      </c>
    </row>
    <row r="9" spans="1:8" x14ac:dyDescent="0.25">
      <c r="H9" t="s">
        <v>6</v>
      </c>
    </row>
    <row r="10" spans="1:8" x14ac:dyDescent="0.25">
      <c r="G10" t="s">
        <v>16</v>
      </c>
    </row>
    <row r="11" spans="1:8" x14ac:dyDescent="0.25">
      <c r="H11" t="s">
        <v>14</v>
      </c>
    </row>
    <row r="12" spans="1:8" x14ac:dyDescent="0.25">
      <c r="G12" t="s">
        <v>15</v>
      </c>
    </row>
    <row r="13" spans="1:8" x14ac:dyDescent="0.25">
      <c r="H13" t="s">
        <v>6</v>
      </c>
    </row>
    <row r="14" spans="1:8" x14ac:dyDescent="0.25">
      <c r="F14" t="s">
        <v>24</v>
      </c>
    </row>
    <row r="15" spans="1:8" x14ac:dyDescent="0.25">
      <c r="G15" t="s">
        <v>13</v>
      </c>
    </row>
    <row r="16" spans="1:8" x14ac:dyDescent="0.25">
      <c r="H16" t="s">
        <v>6</v>
      </c>
    </row>
    <row r="17" spans="5:8" x14ac:dyDescent="0.25">
      <c r="F17" t="s">
        <v>25</v>
      </c>
    </row>
    <row r="18" spans="5:8" x14ac:dyDescent="0.25">
      <c r="G18" t="s">
        <v>11</v>
      </c>
    </row>
    <row r="19" spans="5:8" x14ac:dyDescent="0.25">
      <c r="H19" t="s">
        <v>8</v>
      </c>
    </row>
    <row r="20" spans="5:8" x14ac:dyDescent="0.25">
      <c r="G20" t="s">
        <v>16</v>
      </c>
    </row>
    <row r="21" spans="5:8" x14ac:dyDescent="0.25">
      <c r="H21" t="s">
        <v>6</v>
      </c>
    </row>
    <row r="22" spans="5:8" x14ac:dyDescent="0.25">
      <c r="F22" t="s">
        <v>26</v>
      </c>
    </row>
    <row r="23" spans="5:8" x14ac:dyDescent="0.25">
      <c r="G23" t="s">
        <v>11</v>
      </c>
    </row>
    <row r="24" spans="5:8" x14ac:dyDescent="0.25">
      <c r="H24" t="s">
        <v>8</v>
      </c>
    </row>
    <row r="25" spans="5:8" x14ac:dyDescent="0.25">
      <c r="G25" t="s">
        <v>12</v>
      </c>
    </row>
    <row r="26" spans="5:8" x14ac:dyDescent="0.25">
      <c r="H26" t="s">
        <v>8</v>
      </c>
    </row>
    <row r="27" spans="5:8" x14ac:dyDescent="0.25">
      <c r="G27" t="s">
        <v>16</v>
      </c>
    </row>
    <row r="28" spans="5:8" x14ac:dyDescent="0.25">
      <c r="H28" t="s">
        <v>14</v>
      </c>
    </row>
    <row r="29" spans="5:8" x14ac:dyDescent="0.25">
      <c r="E29" t="s">
        <v>35</v>
      </c>
    </row>
    <row r="30" spans="5:8" x14ac:dyDescent="0.25">
      <c r="F30" t="s">
        <v>21</v>
      </c>
    </row>
    <row r="31" spans="5:8" x14ac:dyDescent="0.25">
      <c r="G31" t="s">
        <v>4</v>
      </c>
    </row>
    <row r="32" spans="5:8" x14ac:dyDescent="0.25">
      <c r="H32" t="s">
        <v>6</v>
      </c>
    </row>
    <row r="33" spans="6:8" x14ac:dyDescent="0.25">
      <c r="G33" t="s">
        <v>12</v>
      </c>
    </row>
    <row r="34" spans="6:8" x14ac:dyDescent="0.25">
      <c r="H34" t="s">
        <v>8</v>
      </c>
    </row>
    <row r="35" spans="6:8" x14ac:dyDescent="0.25">
      <c r="G35" t="s">
        <v>13</v>
      </c>
    </row>
    <row r="36" spans="6:8" x14ac:dyDescent="0.25">
      <c r="H36" t="s">
        <v>14</v>
      </c>
    </row>
    <row r="37" spans="6:8" x14ac:dyDescent="0.25">
      <c r="G37" t="s">
        <v>16</v>
      </c>
    </row>
    <row r="38" spans="6:8" x14ac:dyDescent="0.25">
      <c r="H38" t="s">
        <v>14</v>
      </c>
    </row>
    <row r="39" spans="6:8" x14ac:dyDescent="0.25">
      <c r="G39" t="s">
        <v>15</v>
      </c>
    </row>
    <row r="40" spans="6:8" x14ac:dyDescent="0.25">
      <c r="H40" t="s">
        <v>14</v>
      </c>
    </row>
    <row r="41" spans="6:8" x14ac:dyDescent="0.25">
      <c r="F41" t="s">
        <v>22</v>
      </c>
    </row>
    <row r="42" spans="6:8" x14ac:dyDescent="0.25">
      <c r="G42" t="s">
        <v>4</v>
      </c>
    </row>
    <row r="43" spans="6:8" x14ac:dyDescent="0.25">
      <c r="H43" t="s">
        <v>6</v>
      </c>
    </row>
    <row r="44" spans="6:8" x14ac:dyDescent="0.25">
      <c r="G44" t="s">
        <v>11</v>
      </c>
    </row>
    <row r="45" spans="6:8" x14ac:dyDescent="0.25">
      <c r="H45" t="s">
        <v>8</v>
      </c>
    </row>
    <row r="46" spans="6:8" x14ac:dyDescent="0.25">
      <c r="G46" t="s">
        <v>13</v>
      </c>
    </row>
    <row r="47" spans="6:8" x14ac:dyDescent="0.25">
      <c r="H47" t="s">
        <v>6</v>
      </c>
    </row>
    <row r="48" spans="6:8" x14ac:dyDescent="0.25">
      <c r="G48" t="s">
        <v>16</v>
      </c>
    </row>
    <row r="49" spans="5:8" x14ac:dyDescent="0.25">
      <c r="H49" t="s">
        <v>6</v>
      </c>
    </row>
    <row r="50" spans="5:8" x14ac:dyDescent="0.25">
      <c r="G50" t="s">
        <v>15</v>
      </c>
    </row>
    <row r="51" spans="5:8" x14ac:dyDescent="0.25">
      <c r="H51" t="s">
        <v>6</v>
      </c>
    </row>
    <row r="52" spans="5:8" x14ac:dyDescent="0.25">
      <c r="F52" t="s">
        <v>27</v>
      </c>
    </row>
    <row r="53" spans="5:8" x14ac:dyDescent="0.25">
      <c r="G53" t="s">
        <v>16</v>
      </c>
    </row>
    <row r="54" spans="5:8" x14ac:dyDescent="0.25">
      <c r="H54" t="s">
        <v>6</v>
      </c>
    </row>
    <row r="55" spans="5:8" x14ac:dyDescent="0.25">
      <c r="E55" t="s">
        <v>33</v>
      </c>
    </row>
    <row r="56" spans="5:8" x14ac:dyDescent="0.25">
      <c r="F56" t="s">
        <v>18</v>
      </c>
    </row>
    <row r="57" spans="5:8" x14ac:dyDescent="0.25">
      <c r="G57" t="s">
        <v>7</v>
      </c>
    </row>
    <row r="58" spans="5:8" x14ac:dyDescent="0.25">
      <c r="H58" t="s">
        <v>8</v>
      </c>
    </row>
    <row r="59" spans="5:8" x14ac:dyDescent="0.25">
      <c r="G59" t="s">
        <v>10</v>
      </c>
    </row>
    <row r="60" spans="5:8" x14ac:dyDescent="0.25">
      <c r="H60" t="s">
        <v>8</v>
      </c>
    </row>
    <row r="61" spans="5:8" x14ac:dyDescent="0.25">
      <c r="G61" t="s">
        <v>16</v>
      </c>
    </row>
    <row r="62" spans="5:8" x14ac:dyDescent="0.25">
      <c r="H62" t="s">
        <v>14</v>
      </c>
    </row>
    <row r="63" spans="5:8" x14ac:dyDescent="0.25">
      <c r="G63" t="s">
        <v>15</v>
      </c>
    </row>
    <row r="64" spans="5:8" x14ac:dyDescent="0.25">
      <c r="H64" t="s">
        <v>14</v>
      </c>
    </row>
    <row r="65" spans="6:8" x14ac:dyDescent="0.25">
      <c r="F65" t="s">
        <v>20</v>
      </c>
    </row>
    <row r="66" spans="6:8" x14ac:dyDescent="0.25">
      <c r="G66" t="s">
        <v>11</v>
      </c>
    </row>
    <row r="67" spans="6:8" x14ac:dyDescent="0.25">
      <c r="H67" t="s">
        <v>8</v>
      </c>
    </row>
    <row r="68" spans="6:8" x14ac:dyDescent="0.25">
      <c r="G68" t="s">
        <v>13</v>
      </c>
    </row>
    <row r="69" spans="6:8" x14ac:dyDescent="0.25">
      <c r="H69" t="s">
        <v>6</v>
      </c>
    </row>
    <row r="70" spans="6:8" x14ac:dyDescent="0.25">
      <c r="F70" t="s">
        <v>23</v>
      </c>
    </row>
    <row r="71" spans="6:8" x14ac:dyDescent="0.25">
      <c r="G71" t="s">
        <v>4</v>
      </c>
    </row>
    <row r="72" spans="6:8" x14ac:dyDescent="0.25">
      <c r="H72" t="s">
        <v>6</v>
      </c>
    </row>
    <row r="73" spans="6:8" x14ac:dyDescent="0.25">
      <c r="G73" t="s">
        <v>11</v>
      </c>
    </row>
    <row r="74" spans="6:8" x14ac:dyDescent="0.25">
      <c r="H74" t="s">
        <v>8</v>
      </c>
    </row>
    <row r="75" spans="6:8" x14ac:dyDescent="0.25">
      <c r="G75" t="s">
        <v>12</v>
      </c>
    </row>
    <row r="76" spans="6:8" x14ac:dyDescent="0.25">
      <c r="H76" t="s">
        <v>8</v>
      </c>
    </row>
    <row r="77" spans="6:8" x14ac:dyDescent="0.25">
      <c r="G77" t="s">
        <v>16</v>
      </c>
    </row>
    <row r="78" spans="6:8" x14ac:dyDescent="0.25">
      <c r="H78" t="s">
        <v>14</v>
      </c>
    </row>
    <row r="79" spans="6:8" x14ac:dyDescent="0.25">
      <c r="G79" t="s">
        <v>15</v>
      </c>
    </row>
    <row r="80" spans="6:8" x14ac:dyDescent="0.25">
      <c r="H80" t="s">
        <v>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1BD78-CB50-48BA-901E-5D49D9E9C332}">
  <dimension ref="A1:C10"/>
  <sheetViews>
    <sheetView workbookViewId="0">
      <selection activeCell="C3" sqref="C3"/>
    </sheetView>
  </sheetViews>
  <sheetFormatPr defaultRowHeight="15" x14ac:dyDescent="0.25"/>
  <cols>
    <col min="1" max="1" width="38.42578125" customWidth="1"/>
    <col min="2" max="2" width="27.42578125" customWidth="1"/>
    <col min="3" max="3" width="32.140625" customWidth="1"/>
  </cols>
  <sheetData>
    <row r="1" spans="1:3" x14ac:dyDescent="0.25">
      <c r="A1" t="s">
        <v>33</v>
      </c>
      <c r="B1" t="s">
        <v>34</v>
      </c>
      <c r="C1" t="s">
        <v>35</v>
      </c>
    </row>
    <row r="2" spans="1:3" ht="107.25" customHeight="1" x14ac:dyDescent="0.25">
      <c r="A2" s="14" t="s">
        <v>69</v>
      </c>
      <c r="B2" s="14" t="s">
        <v>70</v>
      </c>
      <c r="C2" s="14" t="s">
        <v>71</v>
      </c>
    </row>
    <row r="5" spans="1:3" x14ac:dyDescent="0.25">
      <c r="B5" t="str" cm="1">
        <f t="array" ref="B5">_xlfn.IFS(teams="Team A",rec_A,teams="Team B",rec_B,teams="Team C",rec_C)</f>
        <v>1. Strengthen Python and BI Tools coverage (Intermediate+)
2. Add a second Project Management contributor for workload balance
3. Build domain knowledge through independent research</v>
      </c>
    </row>
    <row r="10" spans="1:3" ht="104.25" customHeight="1" x14ac:dyDescent="0.25">
      <c r="A10" s="18" t="str">
        <f>rec</f>
        <v>1. Strengthen Python and BI Tools coverage (Intermediate+)
2. Add a second Project Management contributor for workload balance
3. Build domain knowledge through independent research</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223A9-E5EC-4AF3-8EF5-EC1588DC56C2}">
  <dimension ref="A1:U54"/>
  <sheetViews>
    <sheetView showGridLines="0" showRowColHeaders="0" workbookViewId="0">
      <selection activeCell="E54" sqref="E54"/>
      <extLst>
        <ext xmlns:xlsdti="http://schemas.microsoft.com/office/spreadsheetml/2023/showDataTypeIcons" uri="{77bfe23e-c014-4d31-8a63-9c772dbf06b6}">
          <xlsdti:showDataTypeIcons visible="0"/>
        </ext>
      </extLst>
    </sheetView>
  </sheetViews>
  <sheetFormatPr defaultRowHeight="15" x14ac:dyDescent="0.25"/>
  <cols>
    <col min="1" max="1" width="6.7109375" customWidth="1"/>
    <col min="2" max="2" width="6.42578125" customWidth="1"/>
    <col min="3" max="3" width="68.42578125" customWidth="1"/>
  </cols>
  <sheetData>
    <row r="1" spans="1:21" ht="46.5" x14ac:dyDescent="0.7">
      <c r="A1" s="35" t="s">
        <v>56</v>
      </c>
      <c r="B1" s="35"/>
      <c r="C1" s="35"/>
      <c r="D1" s="35"/>
      <c r="E1" s="35"/>
      <c r="F1" s="35"/>
      <c r="G1" s="35"/>
      <c r="H1" s="35"/>
      <c r="I1" s="35"/>
      <c r="J1" s="35"/>
      <c r="K1" s="35"/>
      <c r="L1" s="35"/>
      <c r="M1" s="35"/>
      <c r="N1" s="35"/>
      <c r="O1" s="35"/>
      <c r="P1" s="35"/>
      <c r="Q1" s="35"/>
      <c r="R1" s="35"/>
      <c r="S1" s="35"/>
      <c r="T1" s="35"/>
      <c r="U1" s="35"/>
    </row>
    <row r="2" spans="1:21" s="7" customFormat="1" ht="24" thickBot="1" x14ac:dyDescent="0.3">
      <c r="A2" s="36" t="s">
        <v>57</v>
      </c>
      <c r="B2" s="37"/>
      <c r="C2" s="37"/>
      <c r="D2" s="37"/>
      <c r="E2" s="37"/>
      <c r="F2" s="37"/>
      <c r="G2" s="37"/>
      <c r="H2" s="37"/>
      <c r="I2" s="37"/>
      <c r="J2" s="37"/>
      <c r="K2" s="37"/>
      <c r="L2" s="37"/>
      <c r="M2" s="37"/>
      <c r="N2" s="37"/>
      <c r="O2" s="37"/>
      <c r="P2" s="37"/>
      <c r="Q2" s="37"/>
      <c r="R2" s="37"/>
      <c r="S2" s="37"/>
      <c r="T2" s="37"/>
      <c r="U2" s="37"/>
    </row>
    <row r="3" spans="1:21" ht="15.75" thickTop="1" x14ac:dyDescent="0.25"/>
    <row r="4" spans="1:21" x14ac:dyDescent="0.25">
      <c r="B4" s="6"/>
      <c r="C4" s="6"/>
      <c r="D4" s="6"/>
    </row>
    <row r="5" spans="1:21" ht="21" x14ac:dyDescent="0.35">
      <c r="B5" s="6"/>
      <c r="C5" s="8" t="s">
        <v>58</v>
      </c>
      <c r="D5" s="6"/>
      <c r="F5" t="s">
        <v>59</v>
      </c>
    </row>
    <row r="6" spans="1:21" ht="32.25" customHeight="1" x14ac:dyDescent="0.25">
      <c r="B6" s="6"/>
      <c r="C6" s="10" t="s">
        <v>10</v>
      </c>
      <c r="D6" s="6"/>
    </row>
    <row r="7" spans="1:21" x14ac:dyDescent="0.25">
      <c r="B7" s="6"/>
      <c r="C7" s="6"/>
      <c r="D7" s="6"/>
    </row>
    <row r="9" spans="1:21" x14ac:dyDescent="0.25">
      <c r="B9" s="6"/>
      <c r="C9" s="6"/>
      <c r="D9" s="6"/>
    </row>
    <row r="10" spans="1:21" ht="21" x14ac:dyDescent="0.35">
      <c r="B10" s="6"/>
      <c r="C10" s="8" t="s">
        <v>60</v>
      </c>
      <c r="D10" s="6"/>
    </row>
    <row r="11" spans="1:21" ht="33" customHeight="1" x14ac:dyDescent="0.25">
      <c r="B11" s="6"/>
      <c r="C11" s="21" t="s">
        <v>5</v>
      </c>
      <c r="D11" s="6" t="s">
        <v>61</v>
      </c>
    </row>
    <row r="12" spans="1:21" ht="21.75" customHeight="1" x14ac:dyDescent="0.25">
      <c r="B12" s="6"/>
      <c r="C12" s="6"/>
      <c r="D12" s="6"/>
    </row>
    <row r="13" spans="1:21" ht="19.5" customHeight="1" x14ac:dyDescent="0.25"/>
    <row r="14" spans="1:21" x14ac:dyDescent="0.25">
      <c r="B14" s="6"/>
      <c r="C14" s="6"/>
      <c r="D14" s="6"/>
    </row>
    <row r="15" spans="1:21" ht="21" x14ac:dyDescent="0.35">
      <c r="B15" s="6"/>
      <c r="C15" s="8" t="s">
        <v>62</v>
      </c>
      <c r="D15" s="6"/>
    </row>
    <row r="16" spans="1:21" ht="32.25" customHeight="1" x14ac:dyDescent="0.25">
      <c r="B16" s="6"/>
      <c r="C16" s="12">
        <f>proficiency_cal</f>
        <v>0.5</v>
      </c>
      <c r="D16" s="6"/>
    </row>
    <row r="17" spans="2:4" ht="18.75" x14ac:dyDescent="0.25">
      <c r="B17" s="38" t="str">
        <f>message</f>
        <v>50% of respondents have Spreadsheets skills at Intermediate proficiency</v>
      </c>
      <c r="C17" s="38"/>
      <c r="D17" s="38"/>
    </row>
    <row r="18" spans="2:4" ht="21.75" customHeight="1" x14ac:dyDescent="0.25">
      <c r="B18" s="6"/>
      <c r="C18" s="9"/>
      <c r="D18" s="6"/>
    </row>
    <row r="19" spans="2:4" ht="15" customHeight="1" x14ac:dyDescent="0.25"/>
    <row r="20" spans="2:4" ht="21" customHeight="1" x14ac:dyDescent="0.25"/>
    <row r="21" spans="2:4" ht="15" customHeight="1" x14ac:dyDescent="0.25"/>
    <row r="54" spans="5:5" x14ac:dyDescent="0.25">
      <c r="E54" t="s">
        <v>76</v>
      </c>
    </row>
  </sheetData>
  <mergeCells count="3">
    <mergeCell ref="A1:U1"/>
    <mergeCell ref="A2:U2"/>
    <mergeCell ref="B17:D17"/>
  </mergeCells>
  <dataValidations count="1">
    <dataValidation type="list" allowBlank="1" showInputMessage="1" showErrorMessage="1" sqref="C11" xr:uid="{C8AD42E1-DE70-4E3F-8EAE-6B8336406F4F}">
      <formula1>IF(      OR(skill="BI Tools",skill="SQL",skill="Spreadsheets",skill="Python or R"),      full_proficiency_list,     short_list )</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B277AE5-BE40-4391-BA25-FAC2CE532280}">
          <x14:formula1>
            <xm:f>'data validation'!$A$2:$A$9</xm:f>
          </x14:formula1>
          <xm:sqref>C6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B57CF-4972-4473-91A9-7BF98C7031CC}">
  <sheetPr>
    <pageSetUpPr autoPageBreaks="0"/>
  </sheetPr>
  <dimension ref="A1:P25"/>
  <sheetViews>
    <sheetView showGridLines="0" showRowColHeaders="0" zoomScaleNormal="100" workbookViewId="0">
      <selection activeCell="D9" sqref="D9"/>
      <extLst>
        <ext xmlns:xlsdti="http://schemas.microsoft.com/office/spreadsheetml/2023/showDataTypeIcons" uri="{77bfe23e-c014-4d31-8a63-9c772dbf06b6}">
          <xlsdti:showDataTypeIcons visible="0"/>
        </ext>
      </extLst>
    </sheetView>
  </sheetViews>
  <sheetFormatPr defaultRowHeight="15" x14ac:dyDescent="0.25"/>
  <cols>
    <col min="2" max="2" width="28.28515625" bestFit="1" customWidth="1"/>
    <col min="16" max="16" width="26.42578125" customWidth="1"/>
  </cols>
  <sheetData>
    <row r="1" spans="1:13" ht="39" x14ac:dyDescent="0.6">
      <c r="A1" s="39" t="s">
        <v>63</v>
      </c>
      <c r="B1" s="39"/>
      <c r="C1" s="39"/>
      <c r="D1" s="39"/>
      <c r="E1" s="39"/>
      <c r="F1" s="39"/>
      <c r="G1" s="39"/>
      <c r="H1" s="39"/>
      <c r="I1" s="39"/>
      <c r="J1" s="39"/>
      <c r="K1" s="39"/>
      <c r="L1" s="39"/>
      <c r="M1" s="39"/>
    </row>
    <row r="2" spans="1:13" ht="23.25" customHeight="1" x14ac:dyDescent="0.25">
      <c r="A2" s="40" t="s">
        <v>64</v>
      </c>
      <c r="B2" s="40"/>
      <c r="C2" s="40"/>
      <c r="D2" s="40"/>
      <c r="E2" s="40"/>
      <c r="F2" s="40"/>
      <c r="G2" s="40"/>
      <c r="H2" s="40"/>
      <c r="I2" s="40"/>
      <c r="J2" s="40"/>
      <c r="K2" s="40"/>
      <c r="L2" s="40"/>
      <c r="M2" s="40"/>
    </row>
    <row r="4" spans="1:13" ht="23.25" x14ac:dyDescent="0.35">
      <c r="B4" s="15" t="s">
        <v>65</v>
      </c>
    </row>
    <row r="20" spans="16:16" ht="18.75" x14ac:dyDescent="0.3">
      <c r="P20" s="17" t="s">
        <v>66</v>
      </c>
    </row>
    <row r="21" spans="16:16" ht="18.75" x14ac:dyDescent="0.3">
      <c r="P21" s="16" t="str" cm="1">
        <f t="array" ref="P21:P23">_xlfn.IFS(teams="Team A",'data validation'!A12:A14,teams="Team B",'data validation'!B12:B15,teams="Team C",'data validation'!C12:C14)</f>
        <v>Respondent 1</v>
      </c>
    </row>
    <row r="22" spans="16:16" ht="18.75" x14ac:dyDescent="0.3">
      <c r="P22" s="16" t="str">
        <v>Respondent 3</v>
      </c>
    </row>
    <row r="23" spans="16:16" ht="18.75" x14ac:dyDescent="0.3">
      <c r="P23" s="16" t="str">
        <v>Respondent 7</v>
      </c>
    </row>
    <row r="24" spans="16:16" ht="18.75" x14ac:dyDescent="0.3">
      <c r="P24" s="16"/>
    </row>
    <row r="25" spans="16:16" ht="18.75" x14ac:dyDescent="0.3">
      <c r="P25" s="17" t="s">
        <v>67</v>
      </c>
    </row>
  </sheetData>
  <mergeCells count="2">
    <mergeCell ref="A1:M1"/>
    <mergeCell ref="A2:M2"/>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75BD3-D3AF-463C-A137-2B6AA980F991}">
  <sheetPr>
    <tabColor theme="7" tint="-0.249977111117893"/>
    <pageSetUpPr autoPageBreaks="0"/>
  </sheetPr>
  <dimension ref="B1:N13"/>
  <sheetViews>
    <sheetView showGridLines="0" showRowColHeaders="0" zoomScale="85" zoomScaleNormal="85" workbookViewId="0">
      <selection activeCell="F8" sqref="F8"/>
      <extLst>
        <ext xmlns:xlsdti="http://schemas.microsoft.com/office/spreadsheetml/2023/showDataTypeIcons" uri="{77bfe23e-c014-4d31-8a63-9c772dbf06b6}">
          <xlsdti:showDataTypeIcons visible="0"/>
        </ext>
      </extLst>
    </sheetView>
  </sheetViews>
  <sheetFormatPr defaultRowHeight="15" x14ac:dyDescent="0.25"/>
  <cols>
    <col min="3" max="3" width="28.28515625" bestFit="1" customWidth="1"/>
    <col min="8" max="8" width="14.28515625" customWidth="1"/>
    <col min="9" max="9" width="20.7109375" bestFit="1" customWidth="1"/>
    <col min="16" max="16" width="26.42578125" bestFit="1" customWidth="1"/>
    <col min="17" max="17" width="26.42578125" customWidth="1"/>
  </cols>
  <sheetData>
    <row r="1" spans="2:14" ht="39" x14ac:dyDescent="0.6">
      <c r="B1" s="32" t="s">
        <v>77</v>
      </c>
      <c r="C1" s="32"/>
      <c r="D1" s="32"/>
      <c r="E1" s="32"/>
      <c r="F1" s="32"/>
      <c r="G1" s="32"/>
      <c r="H1" s="32"/>
      <c r="I1" s="32"/>
      <c r="J1" s="32"/>
      <c r="K1" s="32"/>
      <c r="L1" s="32"/>
      <c r="M1" s="32"/>
      <c r="N1" s="32"/>
    </row>
    <row r="2" spans="2:14" ht="23.25" customHeight="1" x14ac:dyDescent="0.25">
      <c r="B2" s="41" t="s">
        <v>78</v>
      </c>
      <c r="C2" s="41"/>
      <c r="D2" s="41"/>
      <c r="E2" s="41"/>
      <c r="F2" s="41"/>
      <c r="G2" s="41"/>
      <c r="H2" s="41"/>
      <c r="I2" s="41"/>
      <c r="J2" s="41"/>
      <c r="K2" s="41"/>
      <c r="L2" s="41"/>
      <c r="M2" s="41"/>
      <c r="N2" s="41"/>
    </row>
    <row r="4" spans="2:14" ht="23.25" x14ac:dyDescent="0.25">
      <c r="B4" s="34" t="s">
        <v>65</v>
      </c>
      <c r="C4" s="34"/>
    </row>
    <row r="6" spans="2:14" ht="18.75" x14ac:dyDescent="0.3">
      <c r="G6" t="s">
        <v>68</v>
      </c>
      <c r="I6" s="19" t="s">
        <v>66</v>
      </c>
    </row>
    <row r="7" spans="2:14" ht="18.75" x14ac:dyDescent="0.3">
      <c r="I7" s="20" t="str" cm="1">
        <f t="array" ref="I7:I9">_xlfn.IFS(teams="Team A",'data validation'!A12:A14,teams="Team B",'data validation'!B12:B15,teams="Team C",'data validation'!C12:C14)</f>
        <v>Respondent 1</v>
      </c>
    </row>
    <row r="8" spans="2:14" ht="18.75" x14ac:dyDescent="0.3">
      <c r="I8" s="20" t="str">
        <v>Respondent 3</v>
      </c>
    </row>
    <row r="9" spans="2:14" ht="18.75" x14ac:dyDescent="0.3">
      <c r="D9" t="s">
        <v>61</v>
      </c>
      <c r="I9" s="20" t="str">
        <v>Respondent 7</v>
      </c>
    </row>
    <row r="10" spans="2:14" ht="18.75" x14ac:dyDescent="0.3">
      <c r="I10" s="20"/>
    </row>
    <row r="13" spans="2:14" ht="18.75" x14ac:dyDescent="0.3">
      <c r="J13" s="16"/>
    </row>
  </sheetData>
  <sheetProtection algorithmName="SHA-512" hashValue="gujrd9bpknC35A0pBl5xqqjgW31vQ8HSwZBP/eWlZuyKyuyEpr30UW6cQCF+75isdYDuJHD59T1NmqODZjcL5w==" saltValue="kDQ6m91TpnXy1/n/loq2Rg==" spinCount="100000" sheet="1" objects="1" scenarios="1" selectLockedCells="1" selectUnlockedCells="1"/>
  <mergeCells count="3">
    <mergeCell ref="B1:N1"/>
    <mergeCell ref="B2:N2"/>
    <mergeCell ref="B4:C4"/>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E3E07-A3BA-423B-90EA-97707A6BB6B6}">
  <dimension ref="A1:D9"/>
  <sheetViews>
    <sheetView workbookViewId="0">
      <selection activeCell="O2" sqref="O2"/>
    </sheetView>
  </sheetViews>
  <sheetFormatPr defaultRowHeight="15" x14ac:dyDescent="0.25"/>
  <cols>
    <col min="1" max="1" width="19.7109375" bestFit="1" customWidth="1"/>
  </cols>
  <sheetData>
    <row r="1" spans="1:4" x14ac:dyDescent="0.25">
      <c r="A1" t="s">
        <v>28</v>
      </c>
      <c r="B1" t="s">
        <v>2</v>
      </c>
      <c r="C1" t="s">
        <v>81</v>
      </c>
      <c r="D1" t="s">
        <v>82</v>
      </c>
    </row>
    <row r="2" spans="1:4" x14ac:dyDescent="0.25">
      <c r="A2" s="3" t="s">
        <v>7</v>
      </c>
      <c r="B2">
        <v>1</v>
      </c>
      <c r="C2">
        <f>IF(skill=$A2,NA(),B2)</f>
        <v>1</v>
      </c>
      <c r="D2" t="e">
        <f>IF(skill&lt;&gt;$A2,NA(),B2)</f>
        <v>#N/A</v>
      </c>
    </row>
    <row r="3" spans="1:4" x14ac:dyDescent="0.25">
      <c r="A3" s="3" t="s">
        <v>10</v>
      </c>
      <c r="B3">
        <v>1</v>
      </c>
      <c r="C3">
        <f>IF(skill=$A3,NA(),B3)</f>
        <v>1</v>
      </c>
      <c r="D3" t="e">
        <f>IF(skill&lt;&gt;$A3,NA(),B3)</f>
        <v>#N/A</v>
      </c>
    </row>
    <row r="4" spans="1:4" x14ac:dyDescent="0.25">
      <c r="A4" s="3" t="s">
        <v>32</v>
      </c>
      <c r="B4">
        <v>4</v>
      </c>
      <c r="C4">
        <f>IF(skill=$A4,NA(),B4)</f>
        <v>4</v>
      </c>
      <c r="D4" t="e">
        <f>IF(skill&lt;&gt;$A4,NA(),B4)</f>
        <v>#N/A</v>
      </c>
    </row>
    <row r="5" spans="1:4" x14ac:dyDescent="0.25">
      <c r="A5" s="3" t="s">
        <v>4</v>
      </c>
      <c r="B5">
        <v>4</v>
      </c>
      <c r="C5">
        <f>IF(skill=$A5,NA(),B5)</f>
        <v>4</v>
      </c>
      <c r="D5" t="e">
        <f>IF(skill&lt;&gt;$A5,NA(),B5)</f>
        <v>#N/A</v>
      </c>
    </row>
    <row r="6" spans="1:4" x14ac:dyDescent="0.25">
      <c r="A6" s="3" t="s">
        <v>11</v>
      </c>
      <c r="B6">
        <v>5</v>
      </c>
      <c r="C6">
        <f>IF(skill=$A6,NA(),B6)</f>
        <v>5</v>
      </c>
      <c r="D6" t="e">
        <f>IF(skill&lt;&gt;$A6,NA(),B6)</f>
        <v>#N/A</v>
      </c>
    </row>
    <row r="7" spans="1:4" x14ac:dyDescent="0.25">
      <c r="A7" s="3" t="s">
        <v>15</v>
      </c>
      <c r="B7">
        <v>5</v>
      </c>
      <c r="C7">
        <f>IF(skill=$A7,NA(),B7)</f>
        <v>5</v>
      </c>
      <c r="D7" t="e">
        <f>IF(skill&lt;&gt;$A7,NA(),B7)</f>
        <v>#N/A</v>
      </c>
    </row>
    <row r="8" spans="1:4" x14ac:dyDescent="0.25">
      <c r="A8" s="3" t="s">
        <v>13</v>
      </c>
      <c r="B8">
        <v>5</v>
      </c>
      <c r="C8">
        <f>IF(skill=$A8,NA(),B8)</f>
        <v>5</v>
      </c>
      <c r="D8" t="e">
        <f>IF(skill&lt;&gt;$A8,NA(),B8)</f>
        <v>#N/A</v>
      </c>
    </row>
    <row r="9" spans="1:4" x14ac:dyDescent="0.25">
      <c r="A9" s="3" t="s">
        <v>16</v>
      </c>
      <c r="B9">
        <v>8</v>
      </c>
      <c r="C9" t="e">
        <f>IF(skill=$A9,NA(),B9)</f>
        <v>#N/A</v>
      </c>
      <c r="D9">
        <f>IF(skill&lt;&gt;$A9,NA(),B9)</f>
        <v>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C5744-70EB-4E89-9946-2C34D975C213}">
  <sheetPr>
    <tabColor theme="7" tint="-0.249977111117893"/>
    <pageSetUpPr autoPageBreaks="0"/>
  </sheetPr>
  <dimension ref="B1:N13"/>
  <sheetViews>
    <sheetView showGridLines="0" showRowColHeaders="0" zoomScaleNormal="100" workbookViewId="0">
      <selection activeCell="I56" sqref="I56"/>
      <extLst>
        <ext xmlns:xlsdti="http://schemas.microsoft.com/office/spreadsheetml/2023/showDataTypeIcons" uri="{77bfe23e-c014-4d31-8a63-9c772dbf06b6}">
          <xlsdti:showDataTypeIcons visible="0"/>
        </ext>
      </extLst>
    </sheetView>
  </sheetViews>
  <sheetFormatPr defaultRowHeight="15" x14ac:dyDescent="0.25"/>
  <cols>
    <col min="3" max="3" width="28.28515625" bestFit="1" customWidth="1"/>
    <col min="7" max="7" width="1.85546875" bestFit="1" customWidth="1"/>
    <col min="8" max="8" width="17.5703125" bestFit="1" customWidth="1"/>
    <col min="9" max="9" width="20.7109375" bestFit="1" customWidth="1"/>
    <col min="16" max="16" width="26.42578125" bestFit="1" customWidth="1"/>
    <col min="17" max="17" width="26.42578125" customWidth="1"/>
  </cols>
  <sheetData>
    <row r="1" spans="2:14" ht="39" x14ac:dyDescent="0.6">
      <c r="B1" s="32" t="s">
        <v>80</v>
      </c>
      <c r="C1" s="32"/>
      <c r="D1" s="32"/>
      <c r="E1" s="32"/>
      <c r="F1" s="32"/>
      <c r="G1" s="32"/>
      <c r="H1" s="32"/>
      <c r="I1" s="32"/>
      <c r="J1" s="32"/>
      <c r="K1" s="32"/>
      <c r="L1" s="32"/>
      <c r="M1" s="32"/>
      <c r="N1" s="32"/>
    </row>
    <row r="2" spans="2:14" ht="23.25" customHeight="1" x14ac:dyDescent="0.25">
      <c r="B2" s="33" t="s">
        <v>78</v>
      </c>
      <c r="C2" s="33"/>
      <c r="D2" s="33"/>
      <c r="E2" s="33"/>
      <c r="F2" s="33"/>
      <c r="G2" s="33"/>
      <c r="H2" s="33"/>
      <c r="I2" s="33"/>
      <c r="J2" s="33"/>
      <c r="K2" s="33"/>
      <c r="L2" s="33"/>
      <c r="M2" s="33"/>
      <c r="N2" s="33"/>
    </row>
    <row r="4" spans="2:14" ht="23.25" x14ac:dyDescent="0.25">
      <c r="B4" s="34" t="s">
        <v>65</v>
      </c>
      <c r="C4" s="34"/>
    </row>
    <row r="6" spans="2:14" ht="15.75" x14ac:dyDescent="0.25">
      <c r="G6" t="s">
        <v>68</v>
      </c>
      <c r="H6" s="30" t="s">
        <v>66</v>
      </c>
    </row>
    <row r="7" spans="2:14" ht="15.75" x14ac:dyDescent="0.25">
      <c r="G7" s="29"/>
      <c r="H7" s="31" t="str" cm="1">
        <f t="array" ref="H7:H9">_xlfn.IFS(teams="Team A",'data validation'!A12:A14,teams="Team B",'data validation'!B12:B15,teams="Team C",'data validation'!C12:C14)</f>
        <v>Respondent 1</v>
      </c>
      <c r="I7" s="29"/>
    </row>
    <row r="8" spans="2:14" ht="15.75" x14ac:dyDescent="0.25">
      <c r="G8" s="29"/>
      <c r="H8" s="31" t="str">
        <v>Respondent 3</v>
      </c>
      <c r="I8" s="29"/>
    </row>
    <row r="9" spans="2:14" ht="15.75" x14ac:dyDescent="0.25">
      <c r="D9" t="s">
        <v>61</v>
      </c>
      <c r="G9" s="29"/>
      <c r="H9" s="31" t="str">
        <v>Respondent 7</v>
      </c>
      <c r="I9" s="29"/>
    </row>
    <row r="10" spans="2:14" ht="15.75" x14ac:dyDescent="0.25">
      <c r="G10" s="29"/>
      <c r="H10" s="31"/>
      <c r="I10" s="29"/>
    </row>
    <row r="11" spans="2:14" x14ac:dyDescent="0.25">
      <c r="G11" s="29"/>
      <c r="I11" s="29"/>
    </row>
    <row r="13" spans="2:14" ht="18.75" x14ac:dyDescent="0.3">
      <c r="J13" s="16"/>
    </row>
  </sheetData>
  <sheetProtection algorithmName="SHA-512" hashValue="cfeOOgQtOyv8dhjb4NsjfdDMRX7N5ghf1q1Gw5GTA/eOBqyMCLdOqoQuFVlR3KU7ju2ssGAxRGSuo9ubDUbSGg==" saltValue="1bVJVkR+cNys2Iv1ct/wCg==" spinCount="100000" sheet="1" objects="1" scenarios="1" selectLockedCells="1" selectUnlockedCells="1"/>
  <mergeCells count="3">
    <mergeCell ref="B1:N1"/>
    <mergeCell ref="B2:N2"/>
    <mergeCell ref="B4:C4"/>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CA12D-6AF7-4046-814F-362B6A867A82}">
  <sheetPr>
    <tabColor theme="4" tint="-0.249977111117893"/>
  </sheetPr>
  <dimension ref="A1:AG14"/>
  <sheetViews>
    <sheetView showGridLines="0" showRowColHeaders="0" tabSelected="1" workbookViewId="0">
      <selection activeCell="C10" sqref="C10"/>
      <extLst>
        <ext xmlns:xlsdti="http://schemas.microsoft.com/office/spreadsheetml/2023/showDataTypeIcons" uri="{77bfe23e-c014-4d31-8a63-9c772dbf06b6}">
          <xlsdti:showDataTypeIcons visible="0"/>
        </ext>
      </extLst>
    </sheetView>
  </sheetViews>
  <sheetFormatPr defaultRowHeight="15" x14ac:dyDescent="0.25"/>
  <cols>
    <col min="3" max="3" width="56" bestFit="1" customWidth="1"/>
    <col min="12" max="12" width="40" customWidth="1"/>
  </cols>
  <sheetData>
    <row r="1" spans="1:33" ht="46.5" x14ac:dyDescent="0.25">
      <c r="A1" s="43" t="s">
        <v>73</v>
      </c>
      <c r="B1" s="43"/>
      <c r="C1" s="43"/>
      <c r="D1" s="43"/>
      <c r="E1" s="43"/>
      <c r="F1" s="43"/>
      <c r="G1" s="43"/>
      <c r="H1" s="43"/>
      <c r="I1" s="43"/>
      <c r="J1" s="43"/>
      <c r="K1" s="43"/>
      <c r="L1" s="43"/>
      <c r="M1" s="22"/>
      <c r="N1" s="22"/>
      <c r="O1" s="22"/>
      <c r="P1" s="22"/>
      <c r="Q1" s="22"/>
      <c r="R1" s="22"/>
      <c r="S1" s="22"/>
      <c r="T1" s="22"/>
      <c r="U1" s="22"/>
      <c r="V1" s="22"/>
      <c r="W1" s="22"/>
      <c r="X1" s="22"/>
      <c r="Y1" s="23"/>
      <c r="Z1" s="23"/>
      <c r="AA1" s="23"/>
      <c r="AB1" s="23"/>
      <c r="AC1" s="23"/>
      <c r="AD1" s="23"/>
      <c r="AE1" s="23"/>
      <c r="AF1" s="23"/>
      <c r="AG1" s="23"/>
    </row>
    <row r="2" spans="1:33" ht="21" x14ac:dyDescent="0.25">
      <c r="A2" s="42" t="s">
        <v>79</v>
      </c>
      <c r="B2" s="42"/>
      <c r="C2" s="42"/>
      <c r="D2" s="42"/>
      <c r="E2" s="42"/>
      <c r="F2" s="42"/>
      <c r="G2" s="42"/>
      <c r="H2" s="42"/>
      <c r="I2" s="42"/>
      <c r="J2" s="42"/>
      <c r="K2" s="42"/>
      <c r="L2" s="42"/>
      <c r="M2" s="24"/>
      <c r="N2" s="24"/>
      <c r="O2" s="24"/>
      <c r="P2" s="24"/>
      <c r="Q2" s="24"/>
      <c r="R2" s="24"/>
      <c r="S2" s="24"/>
      <c r="T2" s="24"/>
      <c r="U2" s="24"/>
      <c r="V2" s="24"/>
      <c r="W2" s="24"/>
      <c r="X2" s="24"/>
      <c r="Y2" s="23"/>
      <c r="Z2" s="23"/>
      <c r="AA2" s="23"/>
      <c r="AB2" s="23"/>
      <c r="AC2" s="23"/>
      <c r="AD2" s="23"/>
      <c r="AE2" s="23"/>
      <c r="AF2" s="23"/>
      <c r="AG2" s="23"/>
    </row>
    <row r="5" spans="1:33" ht="23.25" x14ac:dyDescent="0.25">
      <c r="C5" s="25" t="s">
        <v>74</v>
      </c>
    </row>
    <row r="6" spans="1:33" ht="26.25" x14ac:dyDescent="0.25">
      <c r="C6" s="28" t="s">
        <v>16</v>
      </c>
    </row>
    <row r="8" spans="1:33" x14ac:dyDescent="0.25">
      <c r="H8" t="s">
        <v>61</v>
      </c>
    </row>
    <row r="9" spans="1:33" ht="23.25" x14ac:dyDescent="0.25">
      <c r="C9" s="26" t="s">
        <v>75</v>
      </c>
    </row>
    <row r="10" spans="1:33" ht="26.25" x14ac:dyDescent="0.25">
      <c r="C10" s="28" t="s">
        <v>31</v>
      </c>
    </row>
    <row r="14" spans="1:33" ht="23.25" x14ac:dyDescent="0.35">
      <c r="C14" s="27" t="s">
        <v>62</v>
      </c>
    </row>
  </sheetData>
  <sheetProtection algorithmName="SHA-512" hashValue="mHxz00RzuKXOzC/JS0G3vpb5Qq48k/Wk4O4qhK77MzPbXFOZzJKzRSrW8aIXmR+Qmm74j/HJFeC8o0ecxIzPjQ==" saltValue="FrDXEeq0IKIwo+5bECUtNA==" spinCount="100000" sheet="1" objects="1" scenarios="1" selectLockedCells="1"/>
  <mergeCells count="2">
    <mergeCell ref="A2:L2"/>
    <mergeCell ref="A1:L1"/>
  </mergeCells>
  <dataValidations count="1">
    <dataValidation type="list" allowBlank="1" showInputMessage="1" showErrorMessage="1" sqref="C10" xr:uid="{C3362C2E-0ACB-4EB4-A04F-951FF117D477}">
      <formula1>IF(      OR(skill="BI Tools",skill="SQL",skill="Spreadsheets",skill="Python or R"),      full_proficiency_list,     short_list )</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0189A0A-CF5C-42AA-B062-EC96DB60CEFF}">
          <x14:formula1>
            <xm:f>'data validation'!$A$2:$A$9</xm:f>
          </x14:formula1>
          <xm:sqref>C6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6473F70C-767C-47F0-A2D2-CB4D48B79634}">
  <ds:schemaRefs>
    <ds:schemaRef ds:uri="http://gemini/pivotcustomization/ManualCalcMode"/>
  </ds:schemaRefs>
</ds:datastoreItem>
</file>

<file path=customXml/itemProps2.xml><?xml version="1.0" encoding="utf-8"?>
<ds:datastoreItem xmlns:ds="http://schemas.openxmlformats.org/officeDocument/2006/customXml" ds:itemID="{2844BE95-E1EF-4778-A304-4021CC780FF8}">
  <ds:schemaRefs>
    <ds:schemaRef ds:uri="http://gemini/pivotcustomization/TableXML_proficiency distribution_a2776600-156a-4204-92ff-d1b546540c62"/>
  </ds:schemaRefs>
</ds:datastoreItem>
</file>

<file path=customXml/itemProps3.xml><?xml version="1.0" encoding="utf-8"?>
<ds:datastoreItem xmlns:ds="http://schemas.openxmlformats.org/officeDocument/2006/customXml" ds:itemID="{3FA00FE3-8EFC-4C00-9AAA-F1FA54B6459B}">
  <ds:schemaRefs>
    <ds:schemaRef ds:uri="http://gemini/pivotcustomization/MeasureGridState"/>
  </ds:schemaRefs>
</ds:datastoreItem>
</file>

<file path=customXml/itemProps4.xml><?xml version="1.0" encoding="utf-8"?>
<ds:datastoreItem xmlns:ds="http://schemas.openxmlformats.org/officeDocument/2006/customXml" ds:itemID="{ED3BB5DC-7804-434E-8C03-7023B1BEAC7D}">
  <ds:schemaRefs>
    <ds:schemaRef ds:uri="http://gemini/pivotcustomization/SandboxNonEmpty"/>
  </ds:schemaRefs>
</ds:datastoreItem>
</file>

<file path=customXml/itemProps5.xml><?xml version="1.0" encoding="utf-8"?>
<ds:datastoreItem xmlns:ds="http://schemas.openxmlformats.org/officeDocument/2006/customXml" ds:itemID="{C29B16E7-D3DA-43D1-AC57-CED6D8B89D89}">
  <ds:schemaRefs>
    <ds:schemaRef ds:uri="http://gemini/pivotcustomization/RelationshipAutoDetectionEnabled"/>
  </ds:schemaRefs>
</ds:datastoreItem>
</file>

<file path=customXml/itemProps6.xml><?xml version="1.0" encoding="utf-8"?>
<ds:datastoreItem xmlns:ds="http://schemas.openxmlformats.org/officeDocument/2006/customXml" ds:itemID="{D6640712-8ECE-455B-B922-B5AF8210B65D}">
  <ds:schemaRefs>
    <ds:schemaRef ds:uri="http://gemini/pivotcustomization/TableXML_teams_0d3e88bf-166c-4cd4-a91b-db61e9e2db8e"/>
  </ds:schemaRefs>
</ds:datastoreItem>
</file>

<file path=customXml/itemProps7.xml><?xml version="1.0" encoding="utf-8"?>
<ds:datastoreItem xmlns:ds="http://schemas.openxmlformats.org/officeDocument/2006/customXml" ds:itemID="{D011DBEE-14F4-4D21-B0BE-13765E031360}">
  <ds:schemaRefs>
    <ds:schemaRef ds:uri="http://gemini/pivotcustomization/TableWidget"/>
  </ds:schemaRefs>
</ds:datastoreItem>
</file>

<file path=customXml/itemProps8.xml><?xml version="1.0" encoding="utf-8"?>
<ds:datastoreItem xmlns:ds="http://schemas.openxmlformats.org/officeDocument/2006/customXml" ds:itemID="{C1CCA2B4-CA8F-4489-8664-42EEEDFF8DF8}">
  <ds:schemaRefs>
    <ds:schemaRef ds:uri="http://gemini/pivotcustomization/ErrorCache"/>
  </ds:schemaRefs>
</ds:datastoreItem>
</file>

<file path=customXml/itemProps9.xml><?xml version="1.0" encoding="utf-8"?>
<ds:datastoreItem xmlns:ds="http://schemas.openxmlformats.org/officeDocument/2006/customXml" ds:itemID="{7AF69306-0AE8-4EB6-9CCC-D972F5ED3430}">
  <ds:schemaRefs>
    <ds:schemaRef ds:uri="http://gemini/pivotcustomization/ClientWindowXML"/>
  </ds:schemaRefs>
</ds:datastoreItem>
</file>

<file path=customXml/itemProps10.xml><?xml version="1.0" encoding="utf-8"?>
<ds:datastoreItem xmlns:ds="http://schemas.openxmlformats.org/officeDocument/2006/customXml" ds:itemID="{2EAA082B-4EB5-40EF-BC30-584EDE4A8012}">
  <ds:schemaRefs>
    <ds:schemaRef ds:uri="http://gemini/pivotcustomization/Diagrams"/>
  </ds:schemaRefs>
</ds:datastoreItem>
</file>

<file path=customXml/itemProps11.xml><?xml version="1.0" encoding="utf-8"?>
<ds:datastoreItem xmlns:ds="http://schemas.openxmlformats.org/officeDocument/2006/customXml" ds:itemID="{DF543259-1C8E-434B-BF99-F5D053DE9E7C}">
  <ds:schemaRefs>
    <ds:schemaRef ds:uri="http://gemini/pivotcustomization/PowerPivotVersion"/>
  </ds:schemaRefs>
</ds:datastoreItem>
</file>

<file path=customXml/itemProps12.xml><?xml version="1.0" encoding="utf-8"?>
<ds:datastoreItem xmlns:ds="http://schemas.openxmlformats.org/officeDocument/2006/customXml" ds:itemID="{01DFC336-93AA-4712-B10B-2FA5C28356DD}">
  <ds:schemaRefs>
    <ds:schemaRef ds:uri="http://gemini/pivotcustomization/TableOrder"/>
  </ds:schemaRefs>
</ds:datastoreItem>
</file>

<file path=customXml/itemProps13.xml><?xml version="1.0" encoding="utf-8"?>
<ds:datastoreItem xmlns:ds="http://schemas.openxmlformats.org/officeDocument/2006/customXml" ds:itemID="{61FEAA17-E75F-4178-AC8C-73DB804459F4}">
  <ds:schemaRefs>
    <ds:schemaRef ds:uri="http://gemini/pivotcustomization/FormulaBarState"/>
  </ds:schemaRefs>
</ds:datastoreItem>
</file>

<file path=customXml/itemProps14.xml><?xml version="1.0" encoding="utf-8"?>
<ds:datastoreItem xmlns:ds="http://schemas.openxmlformats.org/officeDocument/2006/customXml" ds:itemID="{51410D61-2726-448B-8A45-1D778D7370D7}">
  <ds:schemaRefs>
    <ds:schemaRef ds:uri="http://gemini/pivotcustomization/IsSandboxEmbedded"/>
  </ds:schemaRefs>
</ds:datastoreItem>
</file>

<file path=customXml/itemProps15.xml><?xml version="1.0" encoding="utf-8"?>
<ds:datastoreItem xmlns:ds="http://schemas.openxmlformats.org/officeDocument/2006/customXml" ds:itemID="{EF8F1E69-2268-4538-9063-B78DA94F9BE0}">
  <ds:schemaRefs>
    <ds:schemaRef ds:uri="http://gemini/pivotcustomization/ShowImplicitMeasures"/>
  </ds:schemaRefs>
</ds:datastoreItem>
</file>

<file path=customXml/itemProps16.xml><?xml version="1.0" encoding="utf-8"?>
<ds:datastoreItem xmlns:ds="http://schemas.openxmlformats.org/officeDocument/2006/customXml" ds:itemID="{20863E47-4F19-4B5B-B54E-5CACAC96BBCA}">
  <ds:schemaRefs>
    <ds:schemaRef ds:uri="http://gemini/pivotcustomization/ShowHidden"/>
  </ds:schemaRefs>
</ds:datastoreItem>
</file>

<file path=customXml/itemProps17.xml><?xml version="1.0" encoding="utf-8"?>
<ds:datastoreItem xmlns:ds="http://schemas.openxmlformats.org/officeDocument/2006/customXml" ds:itemID="{5A3E3BE0-F88C-4A54-B6EF-52DA717F6ED6}">
  <ds:schemaRefs>
    <ds:schemaRef ds:uri="http://gemini/pivotcustomization/LinkedTableUpdateMode"/>
  </ds:schemaRefs>
</ds:datastoreItem>
</file>

<file path=customXml/itemProps18.xml><?xml version="1.0" encoding="utf-8"?>
<ds:datastoreItem xmlns:ds="http://schemas.openxmlformats.org/officeDocument/2006/customXml" ds:itemID="{764B4B5A-93DC-4E97-B1F9-5D3D841196C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27</vt:i4>
      </vt:variant>
    </vt:vector>
  </HeadingPairs>
  <TitlesOfParts>
    <vt:vector size="40" baseType="lpstr">
      <vt:lpstr>skill distribution</vt:lpstr>
      <vt:lpstr>team formation</vt:lpstr>
      <vt:lpstr>data validation</vt:lpstr>
      <vt:lpstr>teams</vt:lpstr>
      <vt:lpstr>proficiency distribution</vt:lpstr>
      <vt:lpstr>team summary</vt:lpstr>
      <vt:lpstr>team recommendations</vt:lpstr>
      <vt:lpstr>draft 2</vt:lpstr>
      <vt:lpstr>draft1</vt:lpstr>
      <vt:lpstr>drafts2</vt:lpstr>
      <vt:lpstr>Sheet2</vt:lpstr>
      <vt:lpstr>Team Skill Distribution</vt:lpstr>
      <vt:lpstr>Overall Skill Distribution</vt:lpstr>
      <vt:lpstr>avg_skill_count</vt:lpstr>
      <vt:lpstr>avg_skills</vt:lpstr>
      <vt:lpstr>full_proficiency_list</vt:lpstr>
      <vt:lpstr>high_skill</vt:lpstr>
      <vt:lpstr>memA</vt:lpstr>
      <vt:lpstr>memB</vt:lpstr>
      <vt:lpstr>drafts2!members_cal</vt:lpstr>
      <vt:lpstr>'Team Skill Distribution'!members_cal</vt:lpstr>
      <vt:lpstr>members_cal</vt:lpstr>
      <vt:lpstr>memC</vt:lpstr>
      <vt:lpstr>message</vt:lpstr>
      <vt:lpstr>proficiency</vt:lpstr>
      <vt:lpstr>proficiency_cal</vt:lpstr>
      <vt:lpstr>rec</vt:lpstr>
      <vt:lpstr>rec_A</vt:lpstr>
      <vt:lpstr>rec_B</vt:lpstr>
      <vt:lpstr>rec_C</vt:lpstr>
      <vt:lpstr>short_list</vt:lpstr>
      <vt:lpstr>skill</vt:lpstr>
      <vt:lpstr>skill_top</vt:lpstr>
      <vt:lpstr>skills_covered</vt:lpstr>
      <vt:lpstr>space</vt:lpstr>
      <vt:lpstr>teams</vt:lpstr>
      <vt:lpstr>top_skill</vt:lpstr>
      <vt:lpstr>top_skill_exe</vt:lpstr>
      <vt:lpstr>top_skills</vt:lpstr>
      <vt:lpstr>total_members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Ayabonga Mbobo</dc:creator>
  <cp:keywords/>
  <dc:description/>
  <cp:lastModifiedBy>Christopher Ayabonga</cp:lastModifiedBy>
  <cp:revision/>
  <dcterms:created xsi:type="dcterms:W3CDTF">2026-08-25T23:52:51Z</dcterms:created>
  <dcterms:modified xsi:type="dcterms:W3CDTF">2026-09-23T19:21:52Z</dcterms:modified>
  <cp:category/>
  <cp:contentStatus/>
</cp:coreProperties>
</file>